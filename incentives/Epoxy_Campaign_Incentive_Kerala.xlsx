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e Summary" sheetId="1" state="visible" r:id="rId3"/>
    <sheet name="Payout Summary" sheetId="2" state="visible" r:id="rId4"/>
    <sheet name="District Dealer Tracker" sheetId="3" state="visible" r:id="rId5"/>
    <sheet name="Parameters" sheetId="4" state="visible" r:id="rId6"/>
    <sheet name="TSO Incentive" sheetId="5" state="visible" r:id="rId7"/>
    <sheet name="Coordinator Incentive" sheetId="6" state="visible" r:id="rId8"/>
    <sheet name="ASM Incentive" sheetId="7" state="visible" r:id="rId9"/>
    <sheet name="RSM Incentiv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Placeholder average net price per litre for the epoxy range – replace with your actual realisation.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Count of distinct dealers with net epoxy billing ≥ minimum litres (Parameters!B16) in the campaign</t>
        </r>
      </text>
    </comment>
    <comment ref="Z19" authorId="0">
      <text>
        <r>
          <rPr>
            <sz val="10"/>
            <rFont val="Arial"/>
            <family val="2"/>
          </rPr>
          <t xml:space="preserve">Volume-weighted average collection %</t>
        </r>
      </text>
    </comment>
    <comment ref="AB4" authorId="0">
      <text>
        <r>
          <rPr>
            <sz val="10"/>
            <rFont val="Arial"/>
            <family val="2"/>
          </rPr>
          <t xml:space="preserve">0 if Dealer Achv % &lt; gate (50%); else (MIN(Gross, Cap) + Top award) × Collection factor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4" authorId="0">
      <text>
        <r>
          <rPr>
            <sz val="10"/>
            <rFont val="Arial"/>
            <family val="2"/>
          </rPr>
          <t xml:space="preserve">0 if Dealer Achv % &lt; gate; else MIN(Gross, Cap) × Collection factor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4" authorId="0">
      <text>
        <r>
          <rPr>
            <sz val="10"/>
            <rFont val="Arial"/>
            <family val="2"/>
          </rPr>
          <t xml:space="preserve">0 if Dealer Achv % &lt; gate; else MIN(Gross, Cap) × Collection factor</t>
        </r>
      </text>
    </comment>
  </commentList>
</comments>
</file>

<file path=xl/sharedStrings.xml><?xml version="1.0" encoding="utf-8"?>
<sst xmlns="http://schemas.openxmlformats.org/spreadsheetml/2006/main" count="332" uniqueCount="234">
  <si>
    <t xml:space="preserve">Turbolux Epoxy Campaign – Kerala: Sales Team Incentive Scheme</t>
  </si>
  <si>
    <t xml:space="preserve">Goal: 20 active epoxy dealers in every district · 14 districts × 20 = 280 epoxy dealers across Kerala</t>
  </si>
  <si>
    <t xml:space="preserve">Campaign period</t>
  </si>
  <si>
    <t xml:space="preserve">01 Oct 2026 – 31 Dec 2026 (Q3). Only billing dated in this window counts. [Proposed – change if needed]</t>
  </si>
  <si>
    <t xml:space="preserve">Roles covered</t>
  </si>
  <si>
    <t xml:space="preserve">TSO (1 per district) · Coordinator (5 teams) · Area Sales Manager (South / Central / North) · Regional Sales Manager (Kerala).</t>
  </si>
  <si>
    <t xml:space="preserve">Main KPI – Active epoxy dealers (60%)</t>
  </si>
  <si>
    <t xml:space="preserve">Target 20 per district. An ACTIVE EPOXY DEALER is a dealer with net epoxy billing of at least 20 L in the campaign (after returns), with a display/shade card in the shop. Each dealer counts once, in the district where it is billed.</t>
  </si>
  <si>
    <t xml:space="preserve">Second KPI – Epoxy volume (40%)</t>
  </si>
  <si>
    <t xml:space="preserve">Net litres of the full epoxy range (floor coating, primer, self-levelling, PU topcoat, grout) against the district volume target. Returns, FOC and samples are deducted.</t>
  </si>
  <si>
    <t xml:space="preserve">How payout works</t>
  </si>
  <si>
    <t xml:space="preserve">Payout = Base × 60% × Dealer-slab %  +  Base × 40% × Volume-slab %  +  kickers, then capped and multiplied by the collection factor.</t>
  </si>
  <si>
    <t xml:space="preserve">Dealer slabs (of 20)</t>
  </si>
  <si>
    <t xml:space="preserve">&lt;10 dealers → NIL (gate) · 10–13 → 40% · 14–15 → 60% · 16–17 → 80% · 18–19 → 90% · 20–24 → 100% · 25+ → 125%.</t>
  </si>
  <si>
    <t xml:space="preserve">Volume slabs</t>
  </si>
  <si>
    <t xml:space="preserve">&lt;80% → 0 · 80–89.9% → 60% · 90–99.9% → 80% · 100–109.9% → 100% · 110–119.9% → 120% · ≥120% → 150%.</t>
  </si>
  <si>
    <t xml:space="preserve">Qualifying gate</t>
  </si>
  <si>
    <t xml:space="preserve">No incentive at all if active dealers are below 50% of target (fewer than 10 in a district, or 50% of the team/area/state total).</t>
  </si>
  <si>
    <t xml:space="preserve">TSO kickers</t>
  </si>
  <si>
    <t xml:space="preserve">₹1,000 for each active dealer beyond 20 · ₹300 per repeat-order dealer (2 or more invoices) · ₹500 per applicator meet (max 4; at least 10 applicators; photos and attendance sheet) · Top 3 districts that reach 20 dealers: ₹10,000 / ₹7,000 / ₹5,000.</t>
  </si>
  <si>
    <t xml:space="preserve">Coordinator kickers</t>
  </si>
  <si>
    <t xml:space="preserve">₹500 per team dealer beyond target · ₹150 per repeat-order dealer · ₹5,000 team bonus if at least 60% of own districts reach 20 dealers.</t>
  </si>
  <si>
    <t xml:space="preserve">ASM kickers</t>
  </si>
  <si>
    <t xml:space="preserve">₹300 per area dealer beyond target · ₹10,000 area bonus if every district in the area reaches at least 15 dealers.</t>
  </si>
  <si>
    <t xml:space="preserve">RSM kickers</t>
  </si>
  <si>
    <t xml:space="preserve">₹200 per Kerala dealer beyond 280 · ₹15,000 region bonus if Kerala reaches 280 dealers AND epoxy collection is at least 95%.</t>
  </si>
  <si>
    <t xml:space="preserve">Collection factor</t>
  </si>
  <si>
    <t xml:space="preserve">Applied to the whole payout. Based on collection of campaign epoxy billing by 31 Jan 2027: 90% or more → 100% · 80–89.9% → 75% · below 80% → 0.</t>
  </si>
  <si>
    <t xml:space="preserve">Cap</t>
  </si>
  <si>
    <t xml:space="preserve">Slab payouts + kickers are capped at 2× base. The top-performer award is paid on top of the cap.</t>
  </si>
  <si>
    <t xml:space="preserve">Payout</t>
  </si>
  <si>
    <t xml:space="preserve">Worked out from SAP data after the 31 Jan 2027 collection cut-off and paid with Feb 2027 salary. The employee must be on rolls on the payout date. Needs Sales and HR sign-off.</t>
  </si>
  <si>
    <t xml:space="preserve">Anti-misuse</t>
  </si>
  <si>
    <t xml:space="preserve">Same dealer split across codes, billing reversed after the period, or loading a dealer with no secondary sale → the dealer is not counted and incentive is withheld. The RSM and Sales Head make the final call.</t>
  </si>
  <si>
    <t xml:space="preserve">Using this file</t>
  </si>
  <si>
    <t xml:space="preserve">Edit only YELLOW cells with BLUE text: district rows on the TSO sheet, collection % on each sheet, and rates on Parameters. Everything else is a formula. Names, volume targets and actuals are SAMPLE values – replace them with SAP data.</t>
  </si>
  <si>
    <t xml:space="preserve">Campaign Payout Summary – Kerala Epoxy</t>
  </si>
  <si>
    <t xml:space="preserve">Role</t>
  </si>
  <si>
    <t xml:space="preserve">Headcount</t>
  </si>
  <si>
    <t xml:space="preserve">Total Payout (₹)</t>
  </si>
  <si>
    <t xml:space="preserve">Earning &gt;0</t>
  </si>
  <si>
    <t xml:space="preserve">Avg per Head (₹)</t>
  </si>
  <si>
    <t xml:space="preserve">TSO</t>
  </si>
  <si>
    <t xml:space="preserve">Coordinator</t>
  </si>
  <si>
    <t xml:space="preserve">Area Sales Manager</t>
  </si>
  <si>
    <t xml:space="preserve">Regional Sales Manager</t>
  </si>
  <si>
    <t xml:space="preserve">TOTAL</t>
  </si>
  <si>
    <t xml:space="preserve">Campaign scorecard &amp; economics</t>
  </si>
  <si>
    <t xml:space="preserve">Active epoxy dealer target (Kerala)</t>
  </si>
  <si>
    <t xml:space="preserve">Active epoxy dealers achieved</t>
  </si>
  <si>
    <t xml:space="preserve">Dealer achievement %</t>
  </si>
  <si>
    <t xml:space="preserve">Districts at 20+ dealers</t>
  </si>
  <si>
    <t xml:space="preserve">Epoxy volume target (L)</t>
  </si>
  <si>
    <t xml:space="preserve">Net epoxy volume (L)</t>
  </si>
  <si>
    <t xml:space="preserve">Volume achievement %</t>
  </si>
  <si>
    <t xml:space="preserve">Incentive cost per active dealer (₹)</t>
  </si>
  <si>
    <t xml:space="preserve">Incentive cost per litre (₹/L)</t>
  </si>
  <si>
    <t xml:space="preserve">Avg net realisation (₹/L) – input</t>
  </si>
  <si>
    <t xml:space="preserve">Epoxy sales value (₹)</t>
  </si>
  <si>
    <t xml:space="preserve">Incentive cost as % of sales</t>
  </si>
  <si>
    <t xml:space="preserve">Note: dealer activation is an investment in future epoxy sales, so the first-quarter cost % can run higher than a normal volume scheme.</t>
  </si>
  <si>
    <t xml:space="preserve">District-wise Epoxy Dealer Tracker – Road to 280</t>
  </si>
  <si>
    <t xml:space="preserve">Shows the gap to 20 dealers per district. Updates from 'TSO Incentive'.</t>
  </si>
  <si>
    <t xml:space="preserve">District</t>
  </si>
  <si>
    <t xml:space="preserve">Area</t>
  </si>
  <si>
    <t xml:space="preserve">Target</t>
  </si>
  <si>
    <t xml:space="preserve">Active Dealers</t>
  </si>
  <si>
    <t xml:space="preserve">Gap to 20</t>
  </si>
  <si>
    <t xml:space="preserve">Achv %</t>
  </si>
  <si>
    <t xml:space="preserve">Status</t>
  </si>
  <si>
    <t xml:space="preserve">Next slab at (dealers)</t>
  </si>
  <si>
    <t xml:space="preserve">Dealers needed for next slab</t>
  </si>
  <si>
    <t xml:space="preserve">KERALA</t>
  </si>
  <si>
    <t xml:space="preserve">Scheme Parameters (edit yellow cells – all calculators update)</t>
  </si>
  <si>
    <t xml:space="preserve">Rate / rule</t>
  </si>
  <si>
    <t xml:space="preserve">ASM</t>
  </si>
  <si>
    <t xml:space="preserve">RSM</t>
  </si>
  <si>
    <t xml:space="preserve">Note</t>
  </si>
  <si>
    <t xml:space="preserve">Base incentive for campaign (₹)</t>
  </si>
  <si>
    <t xml:space="preserve">Paid at 100% on both KPIs. Proposed – align with budget.</t>
  </si>
  <si>
    <t xml:space="preserve">Weight – active dealer count</t>
  </si>
  <si>
    <t xml:space="preserve">Main KPI.</t>
  </si>
  <si>
    <t xml:space="preserve">Weight – epoxy volume</t>
  </si>
  <si>
    <t xml:space="preserve">Must add to 100% with the row above.</t>
  </si>
  <si>
    <t xml:space="preserve">Extra dealer bonus (₹ per dealer beyond target)</t>
  </si>
  <si>
    <t xml:space="preserve">On active dealers above own / team / area / state target.</t>
  </si>
  <si>
    <t xml:space="preserve">Repeat-order dealer bonus (₹ per dealer)</t>
  </si>
  <si>
    <t xml:space="preserve">Dealer with 2+ epoxy invoices in the campaign.</t>
  </si>
  <si>
    <t xml:space="preserve">Applicator meet (₹ per meet)</t>
  </si>
  <si>
    <t xml:space="preserve">At least 10 applicators; photos and attendance sheet.</t>
  </si>
  <si>
    <t xml:space="preserve">Max applicator meets paid</t>
  </si>
  <si>
    <t xml:space="preserve">Per TSO for the campaign.</t>
  </si>
  <si>
    <t xml:space="preserve">Team / Area / Region bonus (₹)</t>
  </si>
  <si>
    <t xml:space="preserve">Conditions in rows 48–50.</t>
  </si>
  <si>
    <t xml:space="preserve">Cap (multiple of base incentive)</t>
  </si>
  <si>
    <t xml:space="preserve">Top-performer award is paid over the cap.</t>
  </si>
  <si>
    <t xml:space="preserve">Active epoxy dealer target per district</t>
  </si>
  <si>
    <t xml:space="preserve">Your target: 20 dealers in each district.</t>
  </si>
  <si>
    <t xml:space="preserve">Minimum net litres for an 'active' dealer</t>
  </si>
  <si>
    <t xml:space="preserve">Used when you count dealers from SAP (rule only).</t>
  </si>
  <si>
    <t xml:space="preserve">Active dealer slabs (achievement vs target; 20 dealers = 100%)</t>
  </si>
  <si>
    <t xml:space="preserve">Achievement from (≥)</t>
  </si>
  <si>
    <t xml:space="preserve">Dealers (of 20)</t>
  </si>
  <si>
    <t xml:space="preserve">Payout %</t>
  </si>
  <si>
    <t xml:space="preserve">0 – 9</t>
  </si>
  <si>
    <t xml:space="preserve">10 – 13</t>
  </si>
  <si>
    <t xml:space="preserve">14 – 15</t>
  </si>
  <si>
    <t xml:space="preserve">16 – 17</t>
  </si>
  <si>
    <t xml:space="preserve">18 – 19</t>
  </si>
  <si>
    <t xml:space="preserve">20 – 24</t>
  </si>
  <si>
    <t xml:space="preserve">25 and above</t>
  </si>
  <si>
    <t xml:space="preserve">Epoxy volume slabs</t>
  </si>
  <si>
    <t xml:space="preserve">Band</t>
  </si>
  <si>
    <t xml:space="preserve">Below 80%</t>
  </si>
  <si>
    <t xml:space="preserve">80% – 89.9%</t>
  </si>
  <si>
    <t xml:space="preserve">90% – 99.9%</t>
  </si>
  <si>
    <t xml:space="preserve">100% – 109.9%</t>
  </si>
  <si>
    <t xml:space="preserve">110% – 119.9%</t>
  </si>
  <si>
    <t xml:space="preserve">120% and above</t>
  </si>
  <si>
    <t xml:space="preserve">Collection factor (% of campaign epoxy billing collected by 31-Jan-2027)</t>
  </si>
  <si>
    <t xml:space="preserve">Collection from (≥)</t>
  </si>
  <si>
    <t xml:space="preserve">Multiplier</t>
  </si>
  <si>
    <t xml:space="preserve">90% and above</t>
  </si>
  <si>
    <t xml:space="preserve">TSO top-performer award (district must reach dealer target)</t>
  </si>
  <si>
    <t xml:space="preserve">Rank (by active dealers)</t>
  </si>
  <si>
    <t xml:space="preserve">Award (₹)</t>
  </si>
  <si>
    <t xml:space="preserve">Ties share the rank (both get the award).</t>
  </si>
  <si>
    <t xml:space="preserve">Coordinator bonus: share of own districts at target</t>
  </si>
  <si>
    <t xml:space="preserve">Team bonus is paid if met.</t>
  </si>
  <si>
    <t xml:space="preserve">ASM bonus: every district at least (dealers)</t>
  </si>
  <si>
    <t xml:space="preserve">Area bonus is paid if no district is below this.</t>
  </si>
  <si>
    <t xml:space="preserve">RSM bonus: minimum Kerala collection %</t>
  </si>
  <si>
    <t xml:space="preserve">Kerala must also reach 280 dealers.</t>
  </si>
  <si>
    <t xml:space="preserve">Gate: minimum dealer achievement for any payout</t>
  </si>
  <si>
    <t xml:space="preserve">Below this → zero payout (all roles).</t>
  </si>
  <si>
    <t xml:space="preserve">TSO Incentive Calculator – Kerala Epoxy Campaign (Oct–Dec 2026) · Target 20 active dealers per district</t>
  </si>
  <si>
    <t xml:space="preserve">Yellow/blue = input. Names, volume targets and actuals are SAMPLE values – replace them with SAP data.</t>
  </si>
  <si>
    <t xml:space="preserve">S.No</t>
  </si>
  <si>
    <t xml:space="preserve">TSO Name</t>
  </si>
  <si>
    <t xml:space="preserve">Dealer Target</t>
  </si>
  <si>
    <t xml:space="preserve">Active Epoxy Dealers</t>
  </si>
  <si>
    <t xml:space="preserve">Dealer Achv %</t>
  </si>
  <si>
    <t xml:space="preserve">Dealer Slab %</t>
  </si>
  <si>
    <t xml:space="preserve">Dealer Payout (₹)</t>
  </si>
  <si>
    <t xml:space="preserve">Volume Target (L)</t>
  </si>
  <si>
    <t xml:space="preserve">Net Volume (L)</t>
  </si>
  <si>
    <t xml:space="preserve">Volume Achv %</t>
  </si>
  <si>
    <t xml:space="preserve">Volume Slab %</t>
  </si>
  <si>
    <t xml:space="preserve">Volume Payout (₹)</t>
  </si>
  <si>
    <t xml:space="preserve">Dealers beyond Target</t>
  </si>
  <si>
    <t xml:space="preserve">Extra Dealer Bonus (₹)</t>
  </si>
  <si>
    <t xml:space="preserve">Repeat-order Dealers</t>
  </si>
  <si>
    <t xml:space="preserve">Repeat Bonus (₹)</t>
  </si>
  <si>
    <t xml:space="preserve">Applicator Meets</t>
  </si>
  <si>
    <t xml:space="preserve">Meet Bonus (₹)</t>
  </si>
  <si>
    <t xml:space="preserve">Rank (at target)</t>
  </si>
  <si>
    <t xml:space="preserve">Top Award (₹)</t>
  </si>
  <si>
    <t xml:space="preserve">Gross before Cap (₹)</t>
  </si>
  <si>
    <t xml:space="preserve">Cap (₹)</t>
  </si>
  <si>
    <t xml:space="preserve">Collection %</t>
  </si>
  <si>
    <t xml:space="preserve">Collection Factor</t>
  </si>
  <si>
    <t xml:space="preserve">FINAL PAYOUT (₹)</t>
  </si>
  <si>
    <t xml:space="preserve">TSO – THI</t>
  </si>
  <si>
    <t xml:space="preserve">Thiruvananthapuram</t>
  </si>
  <si>
    <t xml:space="preserve">Coord-1</t>
  </si>
  <si>
    <t xml:space="preserve">South</t>
  </si>
  <si>
    <t xml:space="preserve">TSO – KOL</t>
  </si>
  <si>
    <t xml:space="preserve">Kollam</t>
  </si>
  <si>
    <t xml:space="preserve">TSO – PAT</t>
  </si>
  <si>
    <t xml:space="preserve">Pathanamthitta</t>
  </si>
  <si>
    <t xml:space="preserve">TSO – ALA</t>
  </si>
  <si>
    <t xml:space="preserve">Alappuzha</t>
  </si>
  <si>
    <t xml:space="preserve">Coord-2</t>
  </si>
  <si>
    <t xml:space="preserve">TSO – KOT</t>
  </si>
  <si>
    <t xml:space="preserve">Kottayam</t>
  </si>
  <si>
    <t xml:space="preserve">Central</t>
  </si>
  <si>
    <t xml:space="preserve">TSO – IDU</t>
  </si>
  <si>
    <t xml:space="preserve">Idukki</t>
  </si>
  <si>
    <t xml:space="preserve">TSO – ERN</t>
  </si>
  <si>
    <t xml:space="preserve">Ernakulam</t>
  </si>
  <si>
    <t xml:space="preserve">Coord-3</t>
  </si>
  <si>
    <t xml:space="preserve">TSO – THR</t>
  </si>
  <si>
    <t xml:space="preserve">Thrissur</t>
  </si>
  <si>
    <t xml:space="preserve">TSO – PAL</t>
  </si>
  <si>
    <t xml:space="preserve">Palakkad</t>
  </si>
  <si>
    <t xml:space="preserve">Coord-4</t>
  </si>
  <si>
    <t xml:space="preserve">North</t>
  </si>
  <si>
    <t xml:space="preserve">TSO – MAL</t>
  </si>
  <si>
    <t xml:space="preserve">Malappuram</t>
  </si>
  <si>
    <t xml:space="preserve">TSO – KOZ</t>
  </si>
  <si>
    <t xml:space="preserve">Kozhikode</t>
  </si>
  <si>
    <t xml:space="preserve">TSO – WAY</t>
  </si>
  <si>
    <t xml:space="preserve">Wayanad</t>
  </si>
  <si>
    <t xml:space="preserve">Coord-5</t>
  </si>
  <si>
    <t xml:space="preserve">TSO – KAN</t>
  </si>
  <si>
    <t xml:space="preserve">Kannur</t>
  </si>
  <si>
    <t xml:space="preserve">TSO – KAS</t>
  </si>
  <si>
    <t xml:space="preserve">Kasaragod</t>
  </si>
  <si>
    <t xml:space="preserve">KERALA TOTAL</t>
  </si>
  <si>
    <t xml:space="preserve">Districts at 20+ dealers:</t>
  </si>
  <si>
    <t xml:space="preserve">Coordinator Incentive Calculator – Kerala Epoxy Campaign</t>
  </si>
  <si>
    <t xml:space="preserve">Dealers, volume and repeat orders roll up from 'TSO Incentive'. The only input here is Collection %.</t>
  </si>
  <si>
    <t xml:space="preserve">Name</t>
  </si>
  <si>
    <t xml:space="preserve">Districts</t>
  </si>
  <si>
    <t xml:space="preserve">% Districts at 20+</t>
  </si>
  <si>
    <t xml:space="preserve">Bonus Condition</t>
  </si>
  <si>
    <t xml:space="preserve">Team/Area Bonus (₹)</t>
  </si>
  <si>
    <t xml:space="preserve">Area Sales Manager Incentive Calculator – Kerala Epoxy Campaign</t>
  </si>
  <si>
    <t xml:space="preserve">Districts below min dealers</t>
  </si>
  <si>
    <t xml:space="preserve">Regional Sales Manager Incentive – Kerala</t>
  </si>
  <si>
    <t xml:space="preserve">Item</t>
  </si>
  <si>
    <t xml:space="preserve">Value</t>
  </si>
  <si>
    <t xml:space="preserve">RSM Name</t>
  </si>
  <si>
    <t xml:space="preserve">RSM – Kerala</t>
  </si>
  <si>
    <t xml:space="preserve">input</t>
  </si>
  <si>
    <t xml:space="preserve">Kerala Dealer Target</t>
  </si>
  <si>
    <t xml:space="preserve">14 districts × 20 = 280 (from TSO sheet)</t>
  </si>
  <si>
    <t xml:space="preserve">Active Epoxy Dealers – Kerala</t>
  </si>
  <si>
    <t xml:space="preserve">From TSO sheet</t>
  </si>
  <si>
    <t xml:space="preserve">Dealer Achievement %</t>
  </si>
  <si>
    <t xml:space="preserve">Dealer slab table</t>
  </si>
  <si>
    <t xml:space="preserve">Base × 60% × slab</t>
  </si>
  <si>
    <t xml:space="preserve">Kerala Volume Target (L)</t>
  </si>
  <si>
    <t xml:space="preserve">Kerala Net Volume (L)</t>
  </si>
  <si>
    <t xml:space="preserve">Volume Achievement %</t>
  </si>
  <si>
    <t xml:space="preserve">Volume slab table</t>
  </si>
  <si>
    <t xml:space="preserve">Base × 40% × slab</t>
  </si>
  <si>
    <t xml:space="preserve">Dealers beyond 280</t>
  </si>
  <si>
    <t xml:space="preserve">Kerala Collection %</t>
  </si>
  <si>
    <t xml:space="preserve">input – % of campaign epoxy billing collected by 31-Jan-27</t>
  </si>
  <si>
    <t xml:space="preserve">Region Bonus Condition</t>
  </si>
  <si>
    <t xml:space="preserve">280 dealers AND collection ≥ threshold</t>
  </si>
  <si>
    <t xml:space="preserve">Region Bonus (₹)</t>
  </si>
  <si>
    <t xml:space="preserve">0 if below gate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</si>
</sst>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\₹#,##0;&quot;(₹&quot;#,##0\);\-"/>
    <numFmt numFmtId="167" formatCode="#,##0;\(#,##0\);\-"/>
    <numFmt numFmtId="168" formatCode="0.0%;\(0.0%\);\-"/>
    <numFmt numFmtId="169" formatCode="0"/>
    <numFmt numFmtId="170" formatCode="\₹#,##0.00"/>
    <numFmt numFmtId="171" formatCode="0%"/>
    <numFmt numFmtId="172" formatCode="0.0\x"/>
    <numFmt numFmtId="173" formatCode="0&quot; L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0" hidden="false" customHeight="true" outlineLevel="0" collapsed="false">
      <c r="B4" s="3" t="s">
        <v>2</v>
      </c>
      <c r="C4" s="4" t="s">
        <v>3</v>
      </c>
    </row>
    <row r="5" customFormat="false" ht="43.5" hidden="false" customHeight="true" outlineLevel="0" collapsed="false">
      <c r="B5" s="3" t="s">
        <v>4</v>
      </c>
      <c r="C5" s="4" t="s">
        <v>5</v>
      </c>
    </row>
    <row r="6" customFormat="false" ht="43.5" hidden="false" customHeight="true" outlineLevel="0" collapsed="false">
      <c r="B6" s="3" t="s">
        <v>6</v>
      </c>
      <c r="C6" s="4" t="s">
        <v>7</v>
      </c>
    </row>
    <row r="7" customFormat="false" ht="43.5" hidden="false" customHeight="true" outlineLevel="0" collapsed="false">
      <c r="B7" s="3" t="s">
        <v>8</v>
      </c>
      <c r="C7" s="4" t="s">
        <v>9</v>
      </c>
    </row>
    <row r="8" customFormat="false" ht="43.5" hidden="false" customHeight="true" outlineLevel="0" collapsed="false">
      <c r="B8" s="3" t="s">
        <v>10</v>
      </c>
      <c r="C8" s="4" t="s">
        <v>11</v>
      </c>
    </row>
    <row r="9" customFormat="false" ht="43.5" hidden="false" customHeight="true" outlineLevel="0" collapsed="false">
      <c r="B9" s="3" t="s">
        <v>12</v>
      </c>
      <c r="C9" s="4" t="s">
        <v>13</v>
      </c>
    </row>
    <row r="10" customFormat="false" ht="30" hidden="false" customHeight="true" outlineLevel="0" collapsed="false">
      <c r="B10" s="3" t="s">
        <v>14</v>
      </c>
      <c r="C10" s="4" t="s">
        <v>15</v>
      </c>
    </row>
    <row r="11" customFormat="false" ht="43.5" hidden="false" customHeight="true" outlineLevel="0" collapsed="false">
      <c r="B11" s="3" t="s">
        <v>16</v>
      </c>
      <c r="C11" s="4" t="s">
        <v>17</v>
      </c>
    </row>
    <row r="12" customFormat="false" ht="43.5" hidden="false" customHeight="true" outlineLevel="0" collapsed="false">
      <c r="B12" s="3" t="s">
        <v>18</v>
      </c>
      <c r="C12" s="4" t="s">
        <v>19</v>
      </c>
    </row>
    <row r="13" customFormat="false" ht="43.5" hidden="false" customHeight="true" outlineLevel="0" collapsed="false">
      <c r="B13" s="3" t="s">
        <v>20</v>
      </c>
      <c r="C13" s="4" t="s">
        <v>21</v>
      </c>
    </row>
    <row r="14" customFormat="false" ht="43.5" hidden="false" customHeight="true" outlineLevel="0" collapsed="false">
      <c r="B14" s="3" t="s">
        <v>22</v>
      </c>
      <c r="C14" s="4" t="s">
        <v>23</v>
      </c>
    </row>
    <row r="15" customFormat="false" ht="43.5" hidden="false" customHeight="true" outlineLevel="0" collapsed="false">
      <c r="B15" s="3" t="s">
        <v>24</v>
      </c>
      <c r="C15" s="4" t="s">
        <v>25</v>
      </c>
    </row>
    <row r="16" customFormat="false" ht="43.5" hidden="false" customHeight="true" outlineLevel="0" collapsed="false">
      <c r="B16" s="3" t="s">
        <v>26</v>
      </c>
      <c r="C16" s="4" t="s">
        <v>27</v>
      </c>
    </row>
    <row r="17" customFormat="false" ht="30" hidden="false" customHeight="true" outlineLevel="0" collapsed="false">
      <c r="B17" s="3" t="s">
        <v>28</v>
      </c>
      <c r="C17" s="4" t="s">
        <v>29</v>
      </c>
    </row>
    <row r="18" customFormat="false" ht="43.5" hidden="false" customHeight="true" outlineLevel="0" collapsed="false">
      <c r="B18" s="3" t="s">
        <v>30</v>
      </c>
      <c r="C18" s="4" t="s">
        <v>31</v>
      </c>
    </row>
    <row r="19" customFormat="false" ht="43.5" hidden="false" customHeight="true" outlineLevel="0" collapsed="false">
      <c r="B19" s="3" t="s">
        <v>32</v>
      </c>
      <c r="C19" s="4" t="s">
        <v>33</v>
      </c>
    </row>
    <row r="20" customFormat="false" ht="43.5" hidden="false" customHeight="true" outlineLevel="0" collapsed="false">
      <c r="B20" s="3" t="s">
        <v>34</v>
      </c>
      <c r="C20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36</v>
      </c>
    </row>
    <row r="3" customFormat="false" ht="21.75" hidden="false" customHeight="true" outlineLevel="0" collapsed="false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</row>
    <row r="4" customFormat="false" ht="15" hidden="false" customHeight="false" outlineLevel="0" collapsed="false">
      <c r="A4" s="6" t="s">
        <v>42</v>
      </c>
      <c r="B4" s="7" t="n">
        <f aca="false">COUNTA('TSO Incentive'!$B$5:$B$18)</f>
        <v>14</v>
      </c>
      <c r="C4" s="8" t="n">
        <f aca="false">'TSO Incentive'!AB19</f>
        <v>249125</v>
      </c>
      <c r="D4" s="7" t="n">
        <f aca="false">COUNTIF('TSO Incentive'!$AB$5:$AB$18,"&gt;0")</f>
        <v>13</v>
      </c>
      <c r="E4" s="9" t="n">
        <f aca="false">IFERROR(C4/B4,0)</f>
        <v>17794.6428571429</v>
      </c>
    </row>
    <row r="5" customFormat="false" ht="15" hidden="false" customHeight="false" outlineLevel="0" collapsed="false">
      <c r="A5" s="6" t="s">
        <v>43</v>
      </c>
      <c r="B5" s="7" t="n">
        <f aca="false">COUNTA('Coordinator Incentive'!B5:B9)</f>
        <v>5</v>
      </c>
      <c r="C5" s="8" t="n">
        <f aca="false">'Coordinator Incentive'!Y10</f>
        <v>119325</v>
      </c>
      <c r="D5" s="7" t="n">
        <f aca="false">COUNTIF('Coordinator Incentive'!Y5:Y9,"&gt;0")</f>
        <v>5</v>
      </c>
      <c r="E5" s="9" t="n">
        <f aca="false">IFERROR(C5/B5,0)</f>
        <v>23865</v>
      </c>
    </row>
    <row r="6" customFormat="false" ht="15" hidden="false" customHeight="false" outlineLevel="0" collapsed="false">
      <c r="A6" s="6" t="s">
        <v>44</v>
      </c>
      <c r="B6" s="7" t="n">
        <f aca="false">COUNTA('ASM Incentive'!B5:B7)</f>
        <v>3</v>
      </c>
      <c r="C6" s="8" t="n">
        <f aca="false">'ASM Incentive'!Y8</f>
        <v>94600</v>
      </c>
      <c r="D6" s="7" t="n">
        <f aca="false">COUNTIF('ASM Incentive'!Y5:Y7,"&gt;0")</f>
        <v>3</v>
      </c>
      <c r="E6" s="9" t="n">
        <f aca="false">IFERROR(C6/B6,0)</f>
        <v>31533.3333333333</v>
      </c>
    </row>
    <row r="7" customFormat="false" ht="15" hidden="false" customHeight="false" outlineLevel="0" collapsed="false">
      <c r="A7" s="6" t="s">
        <v>45</v>
      </c>
      <c r="B7" s="7" t="n">
        <f aca="false">1</f>
        <v>1</v>
      </c>
      <c r="C7" s="8" t="n">
        <f aca="false">'RSM Incentive'!B23</f>
        <v>47000</v>
      </c>
      <c r="D7" s="7" t="n">
        <f aca="false">IF('RSM Incentive'!B23&gt;0,1,0)</f>
        <v>1</v>
      </c>
      <c r="E7" s="9" t="n">
        <f aca="false">IFERROR(C7/B7,0)</f>
        <v>47000</v>
      </c>
    </row>
    <row r="8" customFormat="false" ht="15" hidden="false" customHeight="false" outlineLevel="0" collapsed="false">
      <c r="A8" s="10" t="s">
        <v>46</v>
      </c>
      <c r="B8" s="11" t="n">
        <f aca="false">SUM(B4:B7)</f>
        <v>23</v>
      </c>
      <c r="C8" s="12" t="n">
        <f aca="false">SUM(C4:C7)</f>
        <v>510050</v>
      </c>
      <c r="D8" s="11" t="n">
        <f aca="false">SUM(D4:D7)</f>
        <v>22</v>
      </c>
      <c r="E8" s="13"/>
    </row>
    <row r="10" customFormat="false" ht="15" hidden="false" customHeight="false" outlineLevel="0" collapsed="false">
      <c r="A10" s="14" t="s">
        <v>47</v>
      </c>
    </row>
    <row r="11" customFormat="false" ht="15" hidden="false" customHeight="false" outlineLevel="0" collapsed="false">
      <c r="A11" s="6" t="s">
        <v>48</v>
      </c>
      <c r="B11" s="15" t="n">
        <f aca="false">'RSM Incentive'!B5</f>
        <v>280</v>
      </c>
    </row>
    <row r="12" customFormat="false" ht="15" hidden="false" customHeight="false" outlineLevel="0" collapsed="false">
      <c r="A12" s="6" t="s">
        <v>49</v>
      </c>
      <c r="B12" s="15" t="n">
        <f aca="false">'RSM Incentive'!B6</f>
        <v>261</v>
      </c>
    </row>
    <row r="13" customFormat="false" ht="15" hidden="false" customHeight="false" outlineLevel="0" collapsed="false">
      <c r="A13" s="6" t="s">
        <v>50</v>
      </c>
      <c r="B13" s="16" t="n">
        <f aca="false">'RSM Incentive'!B7</f>
        <v>0.932142857142857</v>
      </c>
    </row>
    <row r="14" customFormat="false" ht="15" hidden="false" customHeight="false" outlineLevel="0" collapsed="false">
      <c r="A14" s="6" t="s">
        <v>51</v>
      </c>
      <c r="B14" s="17" t="n">
        <f aca="false">COUNTIF('TSO Incentive'!$H$5:$H$18,"&gt;=1")</f>
        <v>7</v>
      </c>
    </row>
    <row r="15" customFormat="false" ht="15" hidden="false" customHeight="false" outlineLevel="0" collapsed="false">
      <c r="A15" s="6" t="s">
        <v>52</v>
      </c>
      <c r="B15" s="15" t="n">
        <f aca="false">'RSM Incentive'!B10</f>
        <v>10400</v>
      </c>
    </row>
    <row r="16" customFormat="false" ht="15" hidden="false" customHeight="false" outlineLevel="0" collapsed="false">
      <c r="A16" s="6" t="s">
        <v>53</v>
      </c>
      <c r="B16" s="15" t="n">
        <f aca="false">'RSM Incentive'!B11</f>
        <v>10600</v>
      </c>
    </row>
    <row r="17" customFormat="false" ht="15" hidden="false" customHeight="false" outlineLevel="0" collapsed="false">
      <c r="A17" s="6" t="s">
        <v>54</v>
      </c>
      <c r="B17" s="16" t="n">
        <f aca="false">'RSM Incentive'!B12</f>
        <v>1.01923076923077</v>
      </c>
    </row>
    <row r="18" customFormat="false" ht="15" hidden="false" customHeight="false" outlineLevel="0" collapsed="false">
      <c r="A18" s="6" t="s">
        <v>55</v>
      </c>
      <c r="B18" s="9" t="n">
        <f aca="false">IFERROR(C8/B12,0)</f>
        <v>1954.21455938697</v>
      </c>
    </row>
    <row r="19" customFormat="false" ht="15" hidden="false" customHeight="false" outlineLevel="0" collapsed="false">
      <c r="A19" s="6" t="s">
        <v>56</v>
      </c>
      <c r="B19" s="18" t="n">
        <f aca="false">IFERROR(C8/B16,0)</f>
        <v>48.1179245283019</v>
      </c>
    </row>
    <row r="20" customFormat="false" ht="15" hidden="false" customHeight="false" outlineLevel="0" collapsed="false">
      <c r="A20" s="6" t="s">
        <v>57</v>
      </c>
      <c r="B20" s="19" t="n">
        <v>420</v>
      </c>
    </row>
    <row r="21" customFormat="false" ht="15" hidden="false" customHeight="false" outlineLevel="0" collapsed="false">
      <c r="A21" s="6" t="s">
        <v>58</v>
      </c>
      <c r="B21" s="9" t="n">
        <f aca="false">B16*B20</f>
        <v>4452000</v>
      </c>
    </row>
    <row r="22" customFormat="false" ht="15" hidden="false" customHeight="false" outlineLevel="0" collapsed="false">
      <c r="A22" s="6" t="s">
        <v>59</v>
      </c>
      <c r="B22" s="20" t="n">
        <f aca="false">IFERROR(C8/B21,0)</f>
        <v>0.114566486972147</v>
      </c>
    </row>
    <row r="24" customFormat="false" ht="15" hidden="false" customHeight="false" outlineLevel="0" collapsed="false">
      <c r="A24" s="2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2" t="s">
        <v>62</v>
      </c>
    </row>
    <row r="4" customFormat="false" ht="43.5" hidden="false" customHeight="true" outlineLevel="0" collapsed="false">
      <c r="A4" s="5" t="s">
        <v>63</v>
      </c>
      <c r="B4" s="5" t="s">
        <v>64</v>
      </c>
      <c r="C4" s="5" t="s">
        <v>43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</row>
    <row r="5" customFormat="false" ht="15" hidden="false" customHeight="false" outlineLevel="0" collapsed="false">
      <c r="A5" s="23" t="str">
        <f aca="false">'TSO Incentive'!C5</f>
        <v>Thiruvananthapuram</v>
      </c>
      <c r="B5" s="23" t="str">
        <f aca="false">'TSO Incentive'!E5</f>
        <v>South</v>
      </c>
      <c r="C5" s="23" t="str">
        <f aca="false">'TSO Incentive'!D5</f>
        <v>Coord-1</v>
      </c>
      <c r="D5" s="15" t="n">
        <f aca="false">'TSO Incentive'!F5</f>
        <v>20</v>
      </c>
      <c r="E5" s="15" t="n">
        <f aca="false">'TSO Incentive'!G5</f>
        <v>22</v>
      </c>
      <c r="F5" s="24" t="n">
        <f aca="false">MAX(0,D5-E5)</f>
        <v>0</v>
      </c>
      <c r="G5" s="20" t="n">
        <f aca="false">IFERROR(E5/D5,0)</f>
        <v>1.1</v>
      </c>
      <c r="H5" s="25" t="str">
        <f aca="false">IF(G5&gt;=1,"Target met",IF(G5&gt;=0.8,"Close",IF(G5&gt;=Parameters!$B$51,"Qualifying","Below gate")))</f>
        <v>Target met</v>
      </c>
      <c r="I5" s="26" t="n">
        <f aca="false">IFERROR(INDEX(Parameters!$A$20:$A$26,MATCH(G5,Parameters!$A$20:$A$26,1)+1)*D5,"Top slab")</f>
        <v>25</v>
      </c>
      <c r="J5" s="24" t="n">
        <f aca="false">IF(ISNUMBER(I5),MAX(0,ROUNDUP(I5,0)-E5),0)</f>
        <v>3</v>
      </c>
    </row>
    <row r="6" customFormat="false" ht="15" hidden="false" customHeight="false" outlineLevel="0" collapsed="false">
      <c r="A6" s="23" t="str">
        <f aca="false">'TSO Incentive'!C6</f>
        <v>Kollam</v>
      </c>
      <c r="B6" s="23" t="str">
        <f aca="false">'TSO Incentive'!E6</f>
        <v>South</v>
      </c>
      <c r="C6" s="23" t="str">
        <f aca="false">'TSO Incentive'!D6</f>
        <v>Coord-1</v>
      </c>
      <c r="D6" s="15" t="n">
        <f aca="false">'TSO Incentive'!F6</f>
        <v>20</v>
      </c>
      <c r="E6" s="15" t="n">
        <f aca="false">'TSO Incentive'!G6</f>
        <v>19</v>
      </c>
      <c r="F6" s="24" t="n">
        <f aca="false">MAX(0,D6-E6)</f>
        <v>1</v>
      </c>
      <c r="G6" s="20" t="n">
        <f aca="false">IFERROR(E6/D6,0)</f>
        <v>0.95</v>
      </c>
      <c r="H6" s="25" t="str">
        <f aca="false">IF(G6&gt;=1,"Target met",IF(G6&gt;=0.8,"Close",IF(G6&gt;=Parameters!$B$51,"Qualifying","Below gate")))</f>
        <v>Close</v>
      </c>
      <c r="I6" s="26" t="n">
        <f aca="false">IFERROR(INDEX(Parameters!$A$20:$A$26,MATCH(G6,Parameters!$A$20:$A$26,1)+1)*D6,"Top slab")</f>
        <v>20</v>
      </c>
      <c r="J6" s="24" t="n">
        <f aca="false">IF(ISNUMBER(I6),MAX(0,ROUNDUP(I6,0)-E6),0)</f>
        <v>1</v>
      </c>
    </row>
    <row r="7" customFormat="false" ht="15" hidden="false" customHeight="false" outlineLevel="0" collapsed="false">
      <c r="A7" s="23" t="str">
        <f aca="false">'TSO Incentive'!C7</f>
        <v>Pathanamthitta</v>
      </c>
      <c r="B7" s="23" t="str">
        <f aca="false">'TSO Incentive'!E7</f>
        <v>South</v>
      </c>
      <c r="C7" s="23" t="str">
        <f aca="false">'TSO Incentive'!D7</f>
        <v>Coord-1</v>
      </c>
      <c r="D7" s="15" t="n">
        <f aca="false">'TSO Incentive'!F7</f>
        <v>20</v>
      </c>
      <c r="E7" s="15" t="n">
        <f aca="false">'TSO Incentive'!G7</f>
        <v>15</v>
      </c>
      <c r="F7" s="24" t="n">
        <f aca="false">MAX(0,D7-E7)</f>
        <v>5</v>
      </c>
      <c r="G7" s="20" t="n">
        <f aca="false">IFERROR(E7/D7,0)</f>
        <v>0.75</v>
      </c>
      <c r="H7" s="25" t="str">
        <f aca="false">IF(G7&gt;=1,"Target met",IF(G7&gt;=0.8,"Close",IF(G7&gt;=Parameters!$B$51,"Qualifying","Below gate")))</f>
        <v>Qualifying</v>
      </c>
      <c r="I7" s="26" t="n">
        <f aca="false">IFERROR(INDEX(Parameters!$A$20:$A$26,MATCH(G7,Parameters!$A$20:$A$26,1)+1)*D7,"Top slab")</f>
        <v>16</v>
      </c>
      <c r="J7" s="24" t="n">
        <f aca="false">IF(ISNUMBER(I7),MAX(0,ROUNDUP(I7,0)-E7),0)</f>
        <v>1</v>
      </c>
    </row>
    <row r="8" customFormat="false" ht="15" hidden="false" customHeight="false" outlineLevel="0" collapsed="false">
      <c r="A8" s="23" t="str">
        <f aca="false">'TSO Incentive'!C8</f>
        <v>Alappuzha</v>
      </c>
      <c r="B8" s="23" t="str">
        <f aca="false">'TSO Incentive'!E8</f>
        <v>South</v>
      </c>
      <c r="C8" s="23" t="str">
        <f aca="false">'TSO Incentive'!D8</f>
        <v>Coord-2</v>
      </c>
      <c r="D8" s="15" t="n">
        <f aca="false">'TSO Incentive'!F8</f>
        <v>20</v>
      </c>
      <c r="E8" s="15" t="n">
        <f aca="false">'TSO Incentive'!G8</f>
        <v>20</v>
      </c>
      <c r="F8" s="24" t="n">
        <f aca="false">MAX(0,D8-E8)</f>
        <v>0</v>
      </c>
      <c r="G8" s="20" t="n">
        <f aca="false">IFERROR(E8/D8,0)</f>
        <v>1</v>
      </c>
      <c r="H8" s="25" t="str">
        <f aca="false">IF(G8&gt;=1,"Target met",IF(G8&gt;=0.8,"Close",IF(G8&gt;=Parameters!$B$51,"Qualifying","Below gate")))</f>
        <v>Target met</v>
      </c>
      <c r="I8" s="26" t="n">
        <f aca="false">IFERROR(INDEX(Parameters!$A$20:$A$26,MATCH(G8,Parameters!$A$20:$A$26,1)+1)*D8,"Top slab")</f>
        <v>25</v>
      </c>
      <c r="J8" s="24" t="n">
        <f aca="false">IF(ISNUMBER(I8),MAX(0,ROUNDUP(I8,0)-E8),0)</f>
        <v>5</v>
      </c>
    </row>
    <row r="9" customFormat="false" ht="15" hidden="false" customHeight="false" outlineLevel="0" collapsed="false">
      <c r="A9" s="23" t="str">
        <f aca="false">'TSO Incentive'!C9</f>
        <v>Kottayam</v>
      </c>
      <c r="B9" s="23" t="str">
        <f aca="false">'TSO Incentive'!E9</f>
        <v>Central</v>
      </c>
      <c r="C9" s="23" t="str">
        <f aca="false">'TSO Incentive'!D9</f>
        <v>Coord-2</v>
      </c>
      <c r="D9" s="15" t="n">
        <f aca="false">'TSO Incentive'!F9</f>
        <v>20</v>
      </c>
      <c r="E9" s="15" t="n">
        <f aca="false">'TSO Incentive'!G9</f>
        <v>21</v>
      </c>
      <c r="F9" s="24" t="n">
        <f aca="false">MAX(0,D9-E9)</f>
        <v>0</v>
      </c>
      <c r="G9" s="20" t="n">
        <f aca="false">IFERROR(E9/D9,0)</f>
        <v>1.05</v>
      </c>
      <c r="H9" s="25" t="str">
        <f aca="false">IF(G9&gt;=1,"Target met",IF(G9&gt;=0.8,"Close",IF(G9&gt;=Parameters!$B$51,"Qualifying","Below gate")))</f>
        <v>Target met</v>
      </c>
      <c r="I9" s="26" t="n">
        <f aca="false">IFERROR(INDEX(Parameters!$A$20:$A$26,MATCH(G9,Parameters!$A$20:$A$26,1)+1)*D9,"Top slab")</f>
        <v>25</v>
      </c>
      <c r="J9" s="24" t="n">
        <f aca="false">IF(ISNUMBER(I9),MAX(0,ROUNDUP(I9,0)-E9),0)</f>
        <v>4</v>
      </c>
    </row>
    <row r="10" customFormat="false" ht="15" hidden="false" customHeight="false" outlineLevel="0" collapsed="false">
      <c r="A10" s="23" t="str">
        <f aca="false">'TSO Incentive'!C10</f>
        <v>Idukki</v>
      </c>
      <c r="B10" s="23" t="str">
        <f aca="false">'TSO Incentive'!E10</f>
        <v>Central</v>
      </c>
      <c r="C10" s="23" t="str">
        <f aca="false">'TSO Incentive'!D10</f>
        <v>Coord-2</v>
      </c>
      <c r="D10" s="15" t="n">
        <f aca="false">'TSO Incentive'!F10</f>
        <v>20</v>
      </c>
      <c r="E10" s="15" t="n">
        <f aca="false">'TSO Incentive'!G10</f>
        <v>13</v>
      </c>
      <c r="F10" s="24" t="n">
        <f aca="false">MAX(0,D10-E10)</f>
        <v>7</v>
      </c>
      <c r="G10" s="20" t="n">
        <f aca="false">IFERROR(E10/D10,0)</f>
        <v>0.65</v>
      </c>
      <c r="H10" s="25" t="str">
        <f aca="false">IF(G10&gt;=1,"Target met",IF(G10&gt;=0.8,"Close",IF(G10&gt;=Parameters!$B$51,"Qualifying","Below gate")))</f>
        <v>Qualifying</v>
      </c>
      <c r="I10" s="26" t="n">
        <f aca="false">IFERROR(INDEX(Parameters!$A$20:$A$26,MATCH(G10,Parameters!$A$20:$A$26,1)+1)*D10,"Top slab")</f>
        <v>14</v>
      </c>
      <c r="J10" s="24" t="n">
        <f aca="false">IF(ISNUMBER(I10),MAX(0,ROUNDUP(I10,0)-E10),0)</f>
        <v>1</v>
      </c>
    </row>
    <row r="11" customFormat="false" ht="15" hidden="false" customHeight="false" outlineLevel="0" collapsed="false">
      <c r="A11" s="23" t="str">
        <f aca="false">'TSO Incentive'!C11</f>
        <v>Ernakulam</v>
      </c>
      <c r="B11" s="23" t="str">
        <f aca="false">'TSO Incentive'!E11</f>
        <v>Central</v>
      </c>
      <c r="C11" s="23" t="str">
        <f aca="false">'TSO Incentive'!D11</f>
        <v>Coord-3</v>
      </c>
      <c r="D11" s="15" t="n">
        <f aca="false">'TSO Incentive'!F11</f>
        <v>20</v>
      </c>
      <c r="E11" s="15" t="n">
        <f aca="false">'TSO Incentive'!G11</f>
        <v>26</v>
      </c>
      <c r="F11" s="24" t="n">
        <f aca="false">MAX(0,D11-E11)</f>
        <v>0</v>
      </c>
      <c r="G11" s="20" t="n">
        <f aca="false">IFERROR(E11/D11,0)</f>
        <v>1.3</v>
      </c>
      <c r="H11" s="25" t="str">
        <f aca="false">IF(G11&gt;=1,"Target met",IF(G11&gt;=0.8,"Close",IF(G11&gt;=Parameters!$B$51,"Qualifying","Below gate")))</f>
        <v>Target met</v>
      </c>
      <c r="I11" s="26" t="str">
        <f aca="false">IFERROR(INDEX(Parameters!$A$20:$A$26,MATCH(G11,Parameters!$A$20:$A$26,1)+1)*D11,"Top slab")</f>
        <v>Top slab</v>
      </c>
      <c r="J11" s="24" t="n">
        <f aca="false">IF(ISNUMBER(I11),MAX(0,ROUNDUP(I11,0)-E11),0)</f>
        <v>0</v>
      </c>
    </row>
    <row r="12" customFormat="false" ht="15" hidden="false" customHeight="false" outlineLevel="0" collapsed="false">
      <c r="A12" s="23" t="str">
        <f aca="false">'TSO Incentive'!C12</f>
        <v>Thrissur</v>
      </c>
      <c r="B12" s="23" t="str">
        <f aca="false">'TSO Incentive'!E12</f>
        <v>Central</v>
      </c>
      <c r="C12" s="23" t="str">
        <f aca="false">'TSO Incentive'!D12</f>
        <v>Coord-3</v>
      </c>
      <c r="D12" s="15" t="n">
        <f aca="false">'TSO Incentive'!F12</f>
        <v>20</v>
      </c>
      <c r="E12" s="15" t="n">
        <f aca="false">'TSO Incentive'!G12</f>
        <v>20</v>
      </c>
      <c r="F12" s="24" t="n">
        <f aca="false">MAX(0,D12-E12)</f>
        <v>0</v>
      </c>
      <c r="G12" s="20" t="n">
        <f aca="false">IFERROR(E12/D12,0)</f>
        <v>1</v>
      </c>
      <c r="H12" s="25" t="str">
        <f aca="false">IF(G12&gt;=1,"Target met",IF(G12&gt;=0.8,"Close",IF(G12&gt;=Parameters!$B$51,"Qualifying","Below gate")))</f>
        <v>Target met</v>
      </c>
      <c r="I12" s="26" t="n">
        <f aca="false">IFERROR(INDEX(Parameters!$A$20:$A$26,MATCH(G12,Parameters!$A$20:$A$26,1)+1)*D12,"Top slab")</f>
        <v>25</v>
      </c>
      <c r="J12" s="24" t="n">
        <f aca="false">IF(ISNUMBER(I12),MAX(0,ROUNDUP(I12,0)-E12),0)</f>
        <v>5</v>
      </c>
    </row>
    <row r="13" customFormat="false" ht="15" hidden="false" customHeight="false" outlineLevel="0" collapsed="false">
      <c r="A13" s="23" t="str">
        <f aca="false">'TSO Incentive'!C13</f>
        <v>Palakkad</v>
      </c>
      <c r="B13" s="23" t="str">
        <f aca="false">'TSO Incentive'!E13</f>
        <v>North</v>
      </c>
      <c r="C13" s="23" t="str">
        <f aca="false">'TSO Incentive'!D13</f>
        <v>Coord-4</v>
      </c>
      <c r="D13" s="15" t="n">
        <f aca="false">'TSO Incentive'!F13</f>
        <v>20</v>
      </c>
      <c r="E13" s="15" t="n">
        <f aca="false">'TSO Incentive'!G13</f>
        <v>17</v>
      </c>
      <c r="F13" s="24" t="n">
        <f aca="false">MAX(0,D13-E13)</f>
        <v>3</v>
      </c>
      <c r="G13" s="20" t="n">
        <f aca="false">IFERROR(E13/D13,0)</f>
        <v>0.85</v>
      </c>
      <c r="H13" s="25" t="str">
        <f aca="false">IF(G13&gt;=1,"Target met",IF(G13&gt;=0.8,"Close",IF(G13&gt;=Parameters!$B$51,"Qualifying","Below gate")))</f>
        <v>Close</v>
      </c>
      <c r="I13" s="26" t="n">
        <f aca="false">IFERROR(INDEX(Parameters!$A$20:$A$26,MATCH(G13,Parameters!$A$20:$A$26,1)+1)*D13,"Top slab")</f>
        <v>18</v>
      </c>
      <c r="J13" s="24" t="n">
        <f aca="false">IF(ISNUMBER(I13),MAX(0,ROUNDUP(I13,0)-E13),0)</f>
        <v>1</v>
      </c>
    </row>
    <row r="14" customFormat="false" ht="15" hidden="false" customHeight="false" outlineLevel="0" collapsed="false">
      <c r="A14" s="23" t="str">
        <f aca="false">'TSO Incentive'!C14</f>
        <v>Malappuram</v>
      </c>
      <c r="B14" s="23" t="str">
        <f aca="false">'TSO Incentive'!E14</f>
        <v>North</v>
      </c>
      <c r="C14" s="23" t="str">
        <f aca="false">'TSO Incentive'!D14</f>
        <v>Coord-4</v>
      </c>
      <c r="D14" s="15" t="n">
        <f aca="false">'TSO Incentive'!F14</f>
        <v>20</v>
      </c>
      <c r="E14" s="15" t="n">
        <f aca="false">'TSO Incentive'!G14</f>
        <v>21</v>
      </c>
      <c r="F14" s="24" t="n">
        <f aca="false">MAX(0,D14-E14)</f>
        <v>0</v>
      </c>
      <c r="G14" s="20" t="n">
        <f aca="false">IFERROR(E14/D14,0)</f>
        <v>1.05</v>
      </c>
      <c r="H14" s="25" t="str">
        <f aca="false">IF(G14&gt;=1,"Target met",IF(G14&gt;=0.8,"Close",IF(G14&gt;=Parameters!$B$51,"Qualifying","Below gate")))</f>
        <v>Target met</v>
      </c>
      <c r="I14" s="26" t="n">
        <f aca="false">IFERROR(INDEX(Parameters!$A$20:$A$26,MATCH(G14,Parameters!$A$20:$A$26,1)+1)*D14,"Top slab")</f>
        <v>25</v>
      </c>
      <c r="J14" s="24" t="n">
        <f aca="false">IF(ISNUMBER(I14),MAX(0,ROUNDUP(I14,0)-E14),0)</f>
        <v>4</v>
      </c>
    </row>
    <row r="15" customFormat="false" ht="15" hidden="false" customHeight="false" outlineLevel="0" collapsed="false">
      <c r="A15" s="23" t="str">
        <f aca="false">'TSO Incentive'!C15</f>
        <v>Kozhikode</v>
      </c>
      <c r="B15" s="23" t="str">
        <f aca="false">'TSO Incentive'!E15</f>
        <v>North</v>
      </c>
      <c r="C15" s="23" t="str">
        <f aca="false">'TSO Incentive'!D15</f>
        <v>Coord-4</v>
      </c>
      <c r="D15" s="15" t="n">
        <f aca="false">'TSO Incentive'!F15</f>
        <v>20</v>
      </c>
      <c r="E15" s="15" t="n">
        <f aca="false">'TSO Incentive'!G15</f>
        <v>23</v>
      </c>
      <c r="F15" s="24" t="n">
        <f aca="false">MAX(0,D15-E15)</f>
        <v>0</v>
      </c>
      <c r="G15" s="20" t="n">
        <f aca="false">IFERROR(E15/D15,0)</f>
        <v>1.15</v>
      </c>
      <c r="H15" s="25" t="str">
        <f aca="false">IF(G15&gt;=1,"Target met",IF(G15&gt;=0.8,"Close",IF(G15&gt;=Parameters!$B$51,"Qualifying","Below gate")))</f>
        <v>Target met</v>
      </c>
      <c r="I15" s="26" t="n">
        <f aca="false">IFERROR(INDEX(Parameters!$A$20:$A$26,MATCH(G15,Parameters!$A$20:$A$26,1)+1)*D15,"Top slab")</f>
        <v>25</v>
      </c>
      <c r="J15" s="24" t="n">
        <f aca="false">IF(ISNUMBER(I15),MAX(0,ROUNDUP(I15,0)-E15),0)</f>
        <v>2</v>
      </c>
    </row>
    <row r="16" customFormat="false" ht="15" hidden="false" customHeight="false" outlineLevel="0" collapsed="false">
      <c r="A16" s="23" t="str">
        <f aca="false">'TSO Incentive'!C16</f>
        <v>Wayanad</v>
      </c>
      <c r="B16" s="23" t="str">
        <f aca="false">'TSO Incentive'!E16</f>
        <v>North</v>
      </c>
      <c r="C16" s="23" t="str">
        <f aca="false">'TSO Incentive'!D16</f>
        <v>Coord-5</v>
      </c>
      <c r="D16" s="15" t="n">
        <f aca="false">'TSO Incentive'!F16</f>
        <v>20</v>
      </c>
      <c r="E16" s="15" t="n">
        <f aca="false">'TSO Incentive'!G16</f>
        <v>12</v>
      </c>
      <c r="F16" s="24" t="n">
        <f aca="false">MAX(0,D16-E16)</f>
        <v>8</v>
      </c>
      <c r="G16" s="20" t="n">
        <f aca="false">IFERROR(E16/D16,0)</f>
        <v>0.6</v>
      </c>
      <c r="H16" s="25" t="str">
        <f aca="false">IF(G16&gt;=1,"Target met",IF(G16&gt;=0.8,"Close",IF(G16&gt;=Parameters!$B$51,"Qualifying","Below gate")))</f>
        <v>Qualifying</v>
      </c>
      <c r="I16" s="26" t="n">
        <f aca="false">IFERROR(INDEX(Parameters!$A$20:$A$26,MATCH(G16,Parameters!$A$20:$A$26,1)+1)*D16,"Top slab")</f>
        <v>14</v>
      </c>
      <c r="J16" s="24" t="n">
        <f aca="false">IF(ISNUMBER(I16),MAX(0,ROUNDUP(I16,0)-E16),0)</f>
        <v>2</v>
      </c>
    </row>
    <row r="17" customFormat="false" ht="15" hidden="false" customHeight="false" outlineLevel="0" collapsed="false">
      <c r="A17" s="23" t="str">
        <f aca="false">'TSO Incentive'!C17</f>
        <v>Kannur</v>
      </c>
      <c r="B17" s="23" t="str">
        <f aca="false">'TSO Incentive'!E17</f>
        <v>North</v>
      </c>
      <c r="C17" s="23" t="str">
        <f aca="false">'TSO Incentive'!D17</f>
        <v>Coord-5</v>
      </c>
      <c r="D17" s="15" t="n">
        <f aca="false">'TSO Incentive'!F17</f>
        <v>20</v>
      </c>
      <c r="E17" s="15" t="n">
        <f aca="false">'TSO Incentive'!G17</f>
        <v>18</v>
      </c>
      <c r="F17" s="24" t="n">
        <f aca="false">MAX(0,D17-E17)</f>
        <v>2</v>
      </c>
      <c r="G17" s="20" t="n">
        <f aca="false">IFERROR(E17/D17,0)</f>
        <v>0.9</v>
      </c>
      <c r="H17" s="25" t="str">
        <f aca="false">IF(G17&gt;=1,"Target met",IF(G17&gt;=0.8,"Close",IF(G17&gt;=Parameters!$B$51,"Qualifying","Below gate")))</f>
        <v>Close</v>
      </c>
      <c r="I17" s="26" t="n">
        <f aca="false">IFERROR(INDEX(Parameters!$A$20:$A$26,MATCH(G17,Parameters!$A$20:$A$26,1)+1)*D17,"Top slab")</f>
        <v>20</v>
      </c>
      <c r="J17" s="24" t="n">
        <f aca="false">IF(ISNUMBER(I17),MAX(0,ROUNDUP(I17,0)-E17),0)</f>
        <v>2</v>
      </c>
    </row>
    <row r="18" customFormat="false" ht="15" hidden="false" customHeight="false" outlineLevel="0" collapsed="false">
      <c r="A18" s="23" t="str">
        <f aca="false">'TSO Incentive'!C18</f>
        <v>Kasaragod</v>
      </c>
      <c r="B18" s="23" t="str">
        <f aca="false">'TSO Incentive'!E18</f>
        <v>North</v>
      </c>
      <c r="C18" s="23" t="str">
        <f aca="false">'TSO Incentive'!D18</f>
        <v>Coord-5</v>
      </c>
      <c r="D18" s="15" t="n">
        <f aca="false">'TSO Incentive'!F18</f>
        <v>20</v>
      </c>
      <c r="E18" s="15" t="n">
        <f aca="false">'TSO Incentive'!G18</f>
        <v>14</v>
      </c>
      <c r="F18" s="24" t="n">
        <f aca="false">MAX(0,D18-E18)</f>
        <v>6</v>
      </c>
      <c r="G18" s="20" t="n">
        <f aca="false">IFERROR(E18/D18,0)</f>
        <v>0.7</v>
      </c>
      <c r="H18" s="25" t="str">
        <f aca="false">IF(G18&gt;=1,"Target met",IF(G18&gt;=0.8,"Close",IF(G18&gt;=Parameters!$B$51,"Qualifying","Below gate")))</f>
        <v>Qualifying</v>
      </c>
      <c r="I18" s="26" t="n">
        <f aca="false">IFERROR(INDEX(Parameters!$A$20:$A$26,MATCH(G18,Parameters!$A$20:$A$26,1)+1)*D18,"Top slab")</f>
        <v>16</v>
      </c>
      <c r="J18" s="24" t="n">
        <f aca="false">IF(ISNUMBER(I18),MAX(0,ROUNDUP(I18,0)-E18),0)</f>
        <v>2</v>
      </c>
    </row>
    <row r="19" customFormat="false" ht="15" hidden="false" customHeight="false" outlineLevel="0" collapsed="false">
      <c r="A19" s="10" t="s">
        <v>72</v>
      </c>
      <c r="B19" s="13"/>
      <c r="C19" s="13"/>
      <c r="D19" s="27" t="n">
        <f aca="false">SUM(D5:D18)</f>
        <v>280</v>
      </c>
      <c r="E19" s="27" t="n">
        <f aca="false">SUM(E5:E18)</f>
        <v>261</v>
      </c>
      <c r="F19" s="27" t="n">
        <f aca="false">SUM(F5:F18)</f>
        <v>32</v>
      </c>
      <c r="G19" s="28" t="n">
        <f aca="false">IFERROR(E19/D19,0)</f>
        <v>0.932142857142857</v>
      </c>
      <c r="H19" s="13"/>
      <c r="I19" s="13"/>
      <c r="J19" s="27" t="n">
        <f aca="false">SUM(J5:J18)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73</v>
      </c>
    </row>
    <row r="4" customFormat="false" ht="21.75" hidden="false" customHeight="true" outlineLevel="0" collapsed="false">
      <c r="A4" s="5" t="s">
        <v>74</v>
      </c>
      <c r="B4" s="5" t="s">
        <v>42</v>
      </c>
      <c r="C4" s="5" t="s">
        <v>43</v>
      </c>
      <c r="D4" s="5" t="s">
        <v>75</v>
      </c>
      <c r="E4" s="5" t="s">
        <v>76</v>
      </c>
      <c r="F4" s="5" t="s">
        <v>77</v>
      </c>
    </row>
    <row r="5" customFormat="false" ht="15" hidden="false" customHeight="false" outlineLevel="0" collapsed="false">
      <c r="A5" s="6" t="s">
        <v>78</v>
      </c>
      <c r="B5" s="19" t="n">
        <v>15000</v>
      </c>
      <c r="C5" s="19" t="n">
        <v>20000</v>
      </c>
      <c r="D5" s="19" t="n">
        <v>30000</v>
      </c>
      <c r="E5" s="19" t="n">
        <v>50000</v>
      </c>
      <c r="F5" s="4" t="s">
        <v>79</v>
      </c>
    </row>
    <row r="6" customFormat="false" ht="15" hidden="false" customHeight="false" outlineLevel="0" collapsed="false">
      <c r="A6" s="6" t="s">
        <v>80</v>
      </c>
      <c r="B6" s="29" t="n">
        <v>0.6</v>
      </c>
      <c r="C6" s="29" t="n">
        <v>0.6</v>
      </c>
      <c r="D6" s="29" t="n">
        <v>0.6</v>
      </c>
      <c r="E6" s="29" t="n">
        <v>0.6</v>
      </c>
      <c r="F6" s="4" t="s">
        <v>81</v>
      </c>
    </row>
    <row r="7" customFormat="false" ht="15" hidden="false" customHeight="false" outlineLevel="0" collapsed="false">
      <c r="A7" s="6" t="s">
        <v>82</v>
      </c>
      <c r="B7" s="29" t="n">
        <v>0.4</v>
      </c>
      <c r="C7" s="29" t="n">
        <v>0.4</v>
      </c>
      <c r="D7" s="29" t="n">
        <v>0.4</v>
      </c>
      <c r="E7" s="29" t="n">
        <v>0.4</v>
      </c>
      <c r="F7" s="4" t="s">
        <v>83</v>
      </c>
    </row>
    <row r="8" customFormat="false" ht="15" hidden="false" customHeight="false" outlineLevel="0" collapsed="false">
      <c r="A8" s="6" t="s">
        <v>84</v>
      </c>
      <c r="B8" s="19" t="n">
        <v>1000</v>
      </c>
      <c r="C8" s="19" t="n">
        <v>500</v>
      </c>
      <c r="D8" s="19" t="n">
        <v>300</v>
      </c>
      <c r="E8" s="19" t="n">
        <v>200</v>
      </c>
      <c r="F8" s="4" t="s">
        <v>85</v>
      </c>
    </row>
    <row r="9" customFormat="false" ht="15" hidden="false" customHeight="false" outlineLevel="0" collapsed="false">
      <c r="A9" s="6" t="s">
        <v>86</v>
      </c>
      <c r="B9" s="19" t="n">
        <v>300</v>
      </c>
      <c r="C9" s="19" t="n">
        <v>150</v>
      </c>
      <c r="D9" s="19" t="n">
        <v>0</v>
      </c>
      <c r="E9" s="19" t="n">
        <v>0</v>
      </c>
      <c r="F9" s="4" t="s">
        <v>87</v>
      </c>
    </row>
    <row r="10" customFormat="false" ht="15" hidden="false" customHeight="false" outlineLevel="0" collapsed="false">
      <c r="A10" s="6" t="s">
        <v>88</v>
      </c>
      <c r="B10" s="19" t="n">
        <v>500</v>
      </c>
      <c r="C10" s="19" t="n">
        <v>0</v>
      </c>
      <c r="D10" s="19" t="n">
        <v>0</v>
      </c>
      <c r="E10" s="19" t="n">
        <v>0</v>
      </c>
      <c r="F10" s="4" t="s">
        <v>89</v>
      </c>
    </row>
    <row r="11" customFormat="false" ht="15" hidden="false" customHeight="false" outlineLevel="0" collapsed="false">
      <c r="A11" s="6" t="s">
        <v>90</v>
      </c>
      <c r="B11" s="30" t="n">
        <v>4</v>
      </c>
      <c r="C11" s="30" t="n">
        <v>0</v>
      </c>
      <c r="D11" s="30" t="n">
        <v>0</v>
      </c>
      <c r="E11" s="30" t="n">
        <v>0</v>
      </c>
      <c r="F11" s="4" t="s">
        <v>91</v>
      </c>
    </row>
    <row r="12" customFormat="false" ht="15" hidden="false" customHeight="false" outlineLevel="0" collapsed="false">
      <c r="A12" s="6" t="s">
        <v>92</v>
      </c>
      <c r="B12" s="19" t="n">
        <v>0</v>
      </c>
      <c r="C12" s="19" t="n">
        <v>5000</v>
      </c>
      <c r="D12" s="19" t="n">
        <v>10000</v>
      </c>
      <c r="E12" s="19" t="n">
        <v>15000</v>
      </c>
      <c r="F12" s="4" t="s">
        <v>93</v>
      </c>
    </row>
    <row r="13" customFormat="false" ht="15" hidden="false" customHeight="false" outlineLevel="0" collapsed="false">
      <c r="A13" s="6" t="s">
        <v>94</v>
      </c>
      <c r="B13" s="31" t="n">
        <v>2</v>
      </c>
      <c r="C13" s="31" t="n">
        <v>2</v>
      </c>
      <c r="D13" s="31" t="n">
        <v>2</v>
      </c>
      <c r="E13" s="31" t="n">
        <v>2</v>
      </c>
      <c r="F13" s="4" t="s">
        <v>95</v>
      </c>
    </row>
    <row r="15" customFormat="false" ht="15" hidden="false" customHeight="false" outlineLevel="0" collapsed="false">
      <c r="A15" s="6" t="s">
        <v>96</v>
      </c>
      <c r="B15" s="30" t="n">
        <v>20</v>
      </c>
      <c r="F15" s="32" t="s">
        <v>97</v>
      </c>
    </row>
    <row r="16" customFormat="false" ht="15" hidden="false" customHeight="false" outlineLevel="0" collapsed="false">
      <c r="A16" s="6" t="s">
        <v>98</v>
      </c>
      <c r="B16" s="33" t="n">
        <v>20</v>
      </c>
      <c r="F16" s="32" t="s">
        <v>99</v>
      </c>
    </row>
    <row r="18" customFormat="false" ht="15" hidden="false" customHeight="false" outlineLevel="0" collapsed="false">
      <c r="A18" s="14" t="s">
        <v>100</v>
      </c>
    </row>
    <row r="19" customFormat="false" ht="30" hidden="false" customHeight="true" outlineLevel="0" collapsed="false">
      <c r="A19" s="5" t="s">
        <v>101</v>
      </c>
      <c r="B19" s="5" t="s">
        <v>102</v>
      </c>
      <c r="C19" s="5" t="s">
        <v>103</v>
      </c>
    </row>
    <row r="20" customFormat="false" ht="15" hidden="false" customHeight="false" outlineLevel="0" collapsed="false">
      <c r="A20" s="29" t="n">
        <v>0</v>
      </c>
      <c r="B20" s="25" t="s">
        <v>104</v>
      </c>
      <c r="C20" s="29" t="n">
        <v>0</v>
      </c>
    </row>
    <row r="21" customFormat="false" ht="15" hidden="false" customHeight="false" outlineLevel="0" collapsed="false">
      <c r="A21" s="29" t="n">
        <v>0.5</v>
      </c>
      <c r="B21" s="25" t="s">
        <v>105</v>
      </c>
      <c r="C21" s="29" t="n">
        <v>0.4</v>
      </c>
    </row>
    <row r="22" customFormat="false" ht="15" hidden="false" customHeight="false" outlineLevel="0" collapsed="false">
      <c r="A22" s="29" t="n">
        <v>0.7</v>
      </c>
      <c r="B22" s="25" t="s">
        <v>106</v>
      </c>
      <c r="C22" s="29" t="n">
        <v>0.6</v>
      </c>
    </row>
    <row r="23" customFormat="false" ht="15" hidden="false" customHeight="false" outlineLevel="0" collapsed="false">
      <c r="A23" s="29" t="n">
        <v>0.8</v>
      </c>
      <c r="B23" s="25" t="s">
        <v>107</v>
      </c>
      <c r="C23" s="29" t="n">
        <v>0.8</v>
      </c>
    </row>
    <row r="24" customFormat="false" ht="15" hidden="false" customHeight="false" outlineLevel="0" collapsed="false">
      <c r="A24" s="29" t="n">
        <v>0.9</v>
      </c>
      <c r="B24" s="25" t="s">
        <v>108</v>
      </c>
      <c r="C24" s="29" t="n">
        <v>0.9</v>
      </c>
    </row>
    <row r="25" customFormat="false" ht="15" hidden="false" customHeight="false" outlineLevel="0" collapsed="false">
      <c r="A25" s="29" t="n">
        <v>1</v>
      </c>
      <c r="B25" s="25" t="s">
        <v>109</v>
      </c>
      <c r="C25" s="29" t="n">
        <v>1</v>
      </c>
    </row>
    <row r="26" customFormat="false" ht="15" hidden="false" customHeight="false" outlineLevel="0" collapsed="false">
      <c r="A26" s="29" t="n">
        <v>1.25</v>
      </c>
      <c r="B26" s="25" t="s">
        <v>110</v>
      </c>
      <c r="C26" s="29" t="n">
        <v>1.25</v>
      </c>
    </row>
    <row r="28" customFormat="false" ht="15" hidden="false" customHeight="false" outlineLevel="0" collapsed="false">
      <c r="A28" s="14" t="s">
        <v>111</v>
      </c>
    </row>
    <row r="29" customFormat="false" ht="30" hidden="false" customHeight="true" outlineLevel="0" collapsed="false">
      <c r="A29" s="5" t="s">
        <v>101</v>
      </c>
      <c r="B29" s="5" t="s">
        <v>112</v>
      </c>
      <c r="C29" s="5" t="s">
        <v>103</v>
      </c>
    </row>
    <row r="30" customFormat="false" ht="15" hidden="false" customHeight="false" outlineLevel="0" collapsed="false">
      <c r="A30" s="29" t="n">
        <v>0</v>
      </c>
      <c r="B30" s="25" t="s">
        <v>113</v>
      </c>
      <c r="C30" s="29" t="n">
        <v>0</v>
      </c>
    </row>
    <row r="31" customFormat="false" ht="15" hidden="false" customHeight="false" outlineLevel="0" collapsed="false">
      <c r="A31" s="29" t="n">
        <v>0.8</v>
      </c>
      <c r="B31" s="25" t="s">
        <v>114</v>
      </c>
      <c r="C31" s="29" t="n">
        <v>0.6</v>
      </c>
    </row>
    <row r="32" customFormat="false" ht="15" hidden="false" customHeight="false" outlineLevel="0" collapsed="false">
      <c r="A32" s="29" t="n">
        <v>0.9</v>
      </c>
      <c r="B32" s="25" t="s">
        <v>115</v>
      </c>
      <c r="C32" s="29" t="n">
        <v>0.8</v>
      </c>
    </row>
    <row r="33" customFormat="false" ht="15" hidden="false" customHeight="false" outlineLevel="0" collapsed="false">
      <c r="A33" s="29" t="n">
        <v>1</v>
      </c>
      <c r="B33" s="25" t="s">
        <v>116</v>
      </c>
      <c r="C33" s="29" t="n">
        <v>1</v>
      </c>
    </row>
    <row r="34" customFormat="false" ht="15" hidden="false" customHeight="false" outlineLevel="0" collapsed="false">
      <c r="A34" s="29" t="n">
        <v>1.1</v>
      </c>
      <c r="B34" s="25" t="s">
        <v>117</v>
      </c>
      <c r="C34" s="29" t="n">
        <v>1.2</v>
      </c>
    </row>
    <row r="35" customFormat="false" ht="15" hidden="false" customHeight="false" outlineLevel="0" collapsed="false">
      <c r="A35" s="29" t="n">
        <v>1.2</v>
      </c>
      <c r="B35" s="25" t="s">
        <v>118</v>
      </c>
      <c r="C35" s="29" t="n">
        <v>1.5</v>
      </c>
    </row>
    <row r="37" customFormat="false" ht="15" hidden="false" customHeight="false" outlineLevel="0" collapsed="false">
      <c r="A37" s="14" t="s">
        <v>119</v>
      </c>
    </row>
    <row r="38" customFormat="false" ht="30" hidden="false" customHeight="true" outlineLevel="0" collapsed="false">
      <c r="A38" s="5" t="s">
        <v>120</v>
      </c>
      <c r="B38" s="5" t="s">
        <v>112</v>
      </c>
      <c r="C38" s="5" t="s">
        <v>121</v>
      </c>
    </row>
    <row r="39" customFormat="false" ht="15" hidden="false" customHeight="false" outlineLevel="0" collapsed="false">
      <c r="A39" s="29" t="n">
        <v>0</v>
      </c>
      <c r="B39" s="25" t="s">
        <v>113</v>
      </c>
      <c r="C39" s="29" t="n">
        <v>0</v>
      </c>
    </row>
    <row r="40" customFormat="false" ht="15" hidden="false" customHeight="false" outlineLevel="0" collapsed="false">
      <c r="A40" s="29" t="n">
        <v>0.8</v>
      </c>
      <c r="B40" s="25" t="s">
        <v>114</v>
      </c>
      <c r="C40" s="29" t="n">
        <v>0.75</v>
      </c>
    </row>
    <row r="41" customFormat="false" ht="15" hidden="false" customHeight="false" outlineLevel="0" collapsed="false">
      <c r="A41" s="29" t="n">
        <v>0.9</v>
      </c>
      <c r="B41" s="25" t="s">
        <v>122</v>
      </c>
      <c r="C41" s="29" t="n">
        <v>1</v>
      </c>
    </row>
    <row r="43" customFormat="false" ht="15" hidden="false" customHeight="false" outlineLevel="0" collapsed="false">
      <c r="A43" s="14" t="s">
        <v>123</v>
      </c>
    </row>
    <row r="44" customFormat="false" ht="30" hidden="false" customHeight="true" outlineLevel="0" collapsed="false">
      <c r="A44" s="5" t="s">
        <v>124</v>
      </c>
      <c r="B44" s="5" t="s">
        <v>125</v>
      </c>
    </row>
    <row r="45" customFormat="false" ht="15" hidden="false" customHeight="false" outlineLevel="0" collapsed="false">
      <c r="A45" s="25" t="n">
        <v>1</v>
      </c>
      <c r="B45" s="19" t="n">
        <v>10000</v>
      </c>
      <c r="F45" s="32" t="s">
        <v>126</v>
      </c>
    </row>
    <row r="46" customFormat="false" ht="15" hidden="false" customHeight="false" outlineLevel="0" collapsed="false">
      <c r="A46" s="25" t="n">
        <v>2</v>
      </c>
      <c r="B46" s="19" t="n">
        <v>7000</v>
      </c>
    </row>
    <row r="47" customFormat="false" ht="15" hidden="false" customHeight="false" outlineLevel="0" collapsed="false">
      <c r="A47" s="25" t="n">
        <v>3</v>
      </c>
      <c r="B47" s="19" t="n">
        <v>5000</v>
      </c>
    </row>
    <row r="48" customFormat="false" ht="15" hidden="false" customHeight="false" outlineLevel="0" collapsed="false">
      <c r="A48" s="6" t="s">
        <v>127</v>
      </c>
      <c r="B48" s="29" t="n">
        <v>0.6</v>
      </c>
      <c r="F48" s="32" t="s">
        <v>128</v>
      </c>
    </row>
    <row r="49" customFormat="false" ht="15" hidden="false" customHeight="false" outlineLevel="0" collapsed="false">
      <c r="A49" s="6" t="s">
        <v>129</v>
      </c>
      <c r="B49" s="30" t="n">
        <v>15</v>
      </c>
      <c r="F49" s="32" t="s">
        <v>130</v>
      </c>
    </row>
    <row r="50" customFormat="false" ht="15" hidden="false" customHeight="false" outlineLevel="0" collapsed="false">
      <c r="A50" s="6" t="s">
        <v>131</v>
      </c>
      <c r="B50" s="29" t="n">
        <v>0.95</v>
      </c>
      <c r="F50" s="32" t="s">
        <v>132</v>
      </c>
    </row>
    <row r="51" customFormat="false" ht="15" hidden="false" customHeight="false" outlineLevel="0" collapsed="false">
      <c r="A51" s="6" t="s">
        <v>133</v>
      </c>
      <c r="B51" s="29" t="n">
        <v>0.5</v>
      </c>
      <c r="F51" s="3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8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4" min="24" style="0" width="11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8"/>
    <col collapsed="false" customWidth="true" hidden="false" outlineLevel="0" max="28" min="28" style="0" width="12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2" t="s">
        <v>136</v>
      </c>
    </row>
    <row r="4" customFormat="false" ht="43.5" hidden="false" customHeight="true" outlineLevel="0" collapsed="false">
      <c r="A4" s="5" t="s">
        <v>137</v>
      </c>
      <c r="B4" s="5" t="s">
        <v>138</v>
      </c>
      <c r="C4" s="5" t="s">
        <v>63</v>
      </c>
      <c r="D4" s="5" t="s">
        <v>43</v>
      </c>
      <c r="E4" s="5" t="s">
        <v>64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143</v>
      </c>
      <c r="K4" s="5" t="s">
        <v>144</v>
      </c>
      <c r="L4" s="5" t="s">
        <v>145</v>
      </c>
      <c r="M4" s="5" t="s">
        <v>146</v>
      </c>
      <c r="N4" s="5" t="s">
        <v>147</v>
      </c>
      <c r="O4" s="5" t="s">
        <v>148</v>
      </c>
      <c r="P4" s="5" t="s">
        <v>149</v>
      </c>
      <c r="Q4" s="5" t="s">
        <v>150</v>
      </c>
      <c r="R4" s="5" t="s">
        <v>151</v>
      </c>
      <c r="S4" s="5" t="s">
        <v>152</v>
      </c>
      <c r="T4" s="5" t="s">
        <v>153</v>
      </c>
      <c r="U4" s="5" t="s">
        <v>154</v>
      </c>
      <c r="V4" s="5" t="s">
        <v>155</v>
      </c>
      <c r="W4" s="5" t="s">
        <v>156</v>
      </c>
      <c r="X4" s="5" t="s">
        <v>157</v>
      </c>
      <c r="Y4" s="5" t="s">
        <v>158</v>
      </c>
      <c r="Z4" s="5" t="s">
        <v>159</v>
      </c>
      <c r="AA4" s="5" t="s">
        <v>160</v>
      </c>
      <c r="AB4" s="5" t="s">
        <v>161</v>
      </c>
    </row>
    <row r="5" customFormat="false" ht="15" hidden="false" customHeight="false" outlineLevel="0" collapsed="false">
      <c r="A5" s="25" t="n">
        <v>1</v>
      </c>
      <c r="B5" s="34" t="s">
        <v>162</v>
      </c>
      <c r="C5" s="34" t="s">
        <v>163</v>
      </c>
      <c r="D5" s="34" t="s">
        <v>164</v>
      </c>
      <c r="E5" s="34" t="s">
        <v>165</v>
      </c>
      <c r="F5" s="15" t="n">
        <f aca="false">Parameters!$B$15</f>
        <v>20</v>
      </c>
      <c r="G5" s="35" t="n">
        <v>22</v>
      </c>
      <c r="H5" s="20" t="n">
        <f aca="false">IFERROR(G5/F5,0)</f>
        <v>1.1</v>
      </c>
      <c r="I5" s="36" t="n">
        <f aca="false">INDEX(Parameters!$C$20:$C$26,MATCH(H5,Parameters!$A$20:$A$26,1))</f>
        <v>1</v>
      </c>
      <c r="J5" s="9" t="n">
        <f aca="false">Parameters!$B$5*Parameters!$B$6*I5</f>
        <v>9000</v>
      </c>
      <c r="K5" s="35" t="n">
        <v>900</v>
      </c>
      <c r="L5" s="35" t="n">
        <v>1010</v>
      </c>
      <c r="M5" s="20" t="n">
        <f aca="false">IFERROR(L5/K5,0)</f>
        <v>1.12222222222222</v>
      </c>
      <c r="N5" s="36" t="n">
        <f aca="false">INDEX(Parameters!$C$30:$C$35,MATCH(M5,Parameters!$A$30:$A$35,1))</f>
        <v>1.2</v>
      </c>
      <c r="O5" s="9" t="n">
        <f aca="false">Parameters!$B$5*Parameters!$B$7*N5</f>
        <v>7200</v>
      </c>
      <c r="P5" s="24" t="n">
        <f aca="false">MAX(0,G5-F5)</f>
        <v>2</v>
      </c>
      <c r="Q5" s="9" t="n">
        <f aca="false">P5*Parameters!$B$8</f>
        <v>2000</v>
      </c>
      <c r="R5" s="35" t="n">
        <v>9</v>
      </c>
      <c r="S5" s="9" t="n">
        <f aca="false">MIN(R5,G5)*Parameters!$B$9</f>
        <v>2700</v>
      </c>
      <c r="T5" s="35" t="n">
        <v>4</v>
      </c>
      <c r="U5" s="9" t="n">
        <f aca="false">MIN(T5,Parameters!$B$11)*Parameters!$B$10</f>
        <v>2000</v>
      </c>
      <c r="V5" s="25" t="n">
        <f aca="false">IF(H5&gt;=1,1+COUNTIFS($H$5:$H$18,"&gt;"&amp;H5,$H$5:$H$18,"&gt;=1"),"")</f>
        <v>3</v>
      </c>
      <c r="W5" s="9" t="n">
        <f aca="false">IF(AND(ISNUMBER(V5),V5&lt;=3),INDEX(Parameters!$B$45:$B$47,V5),0)</f>
        <v>5000</v>
      </c>
      <c r="X5" s="9" t="n">
        <f aca="false">J5+O5+Q5+S5+U5</f>
        <v>22900</v>
      </c>
      <c r="Y5" s="9" t="n">
        <f aca="false">Parameters!$B$13*Parameters!$B$5</f>
        <v>30000</v>
      </c>
      <c r="Z5" s="37" t="n">
        <v>0.93</v>
      </c>
      <c r="AA5" s="36" t="n">
        <f aca="false">INDEX(Parameters!$C$39:$C$41,MATCH(Z5,Parameters!$A$39:$A$41,1))</f>
        <v>1</v>
      </c>
      <c r="AB5" s="38" t="n">
        <f aca="false">IF(H5&lt;Parameters!$B$51,0,(MIN(X5,Y5)+W5)*AA5)</f>
        <v>27900</v>
      </c>
    </row>
    <row r="6" customFormat="false" ht="15" hidden="false" customHeight="false" outlineLevel="0" collapsed="false">
      <c r="A6" s="25" t="n">
        <v>2</v>
      </c>
      <c r="B6" s="34" t="s">
        <v>166</v>
      </c>
      <c r="C6" s="34" t="s">
        <v>167</v>
      </c>
      <c r="D6" s="34" t="s">
        <v>164</v>
      </c>
      <c r="E6" s="34" t="s">
        <v>165</v>
      </c>
      <c r="F6" s="15" t="n">
        <f aca="false">Parameters!$B$15</f>
        <v>20</v>
      </c>
      <c r="G6" s="35" t="n">
        <v>19</v>
      </c>
      <c r="H6" s="20" t="n">
        <f aca="false">IFERROR(G6/F6,0)</f>
        <v>0.95</v>
      </c>
      <c r="I6" s="36" t="n">
        <f aca="false">INDEX(Parameters!$C$20:$C$26,MATCH(H6,Parameters!$A$20:$A$26,1))</f>
        <v>0.9</v>
      </c>
      <c r="J6" s="9" t="n">
        <f aca="false">Parameters!$B$5*Parameters!$B$6*I6</f>
        <v>8100</v>
      </c>
      <c r="K6" s="35" t="n">
        <v>800</v>
      </c>
      <c r="L6" s="35" t="n">
        <v>760</v>
      </c>
      <c r="M6" s="20" t="n">
        <f aca="false">IFERROR(L6/K6,0)</f>
        <v>0.95</v>
      </c>
      <c r="N6" s="36" t="n">
        <f aca="false">INDEX(Parameters!$C$30:$C$35,MATCH(M6,Parameters!$A$30:$A$35,1))</f>
        <v>0.8</v>
      </c>
      <c r="O6" s="9" t="n">
        <f aca="false">Parameters!$B$5*Parameters!$B$7*N6</f>
        <v>4800</v>
      </c>
      <c r="P6" s="24" t="n">
        <f aca="false">MAX(0,G6-F6)</f>
        <v>0</v>
      </c>
      <c r="Q6" s="9" t="n">
        <f aca="false">P6*Parameters!$B$8</f>
        <v>0</v>
      </c>
      <c r="R6" s="35" t="n">
        <v>7</v>
      </c>
      <c r="S6" s="9" t="n">
        <f aca="false">MIN(R6,G6)*Parameters!$B$9</f>
        <v>2100</v>
      </c>
      <c r="T6" s="35" t="n">
        <v>4</v>
      </c>
      <c r="U6" s="9" t="n">
        <f aca="false">MIN(T6,Parameters!$B$11)*Parameters!$B$10</f>
        <v>2000</v>
      </c>
      <c r="V6" s="25" t="str">
        <f aca="false">IF(H6&gt;=1,1+COUNTIFS($H$5:$H$18,"&gt;"&amp;H6,$H$5:$H$18,"&gt;=1"),"")</f>
        <v/>
      </c>
      <c r="W6" s="9" t="n">
        <f aca="false">IF(AND(ISNUMBER(V6),V6&lt;=3),INDEX(Parameters!$B$45:$B$47,V6),0)</f>
        <v>0</v>
      </c>
      <c r="X6" s="9" t="n">
        <f aca="false">J6+O6+Q6+S6+U6</f>
        <v>17000</v>
      </c>
      <c r="Y6" s="9" t="n">
        <f aca="false">Parameters!$B$13*Parameters!$B$5</f>
        <v>30000</v>
      </c>
      <c r="Z6" s="37" t="n">
        <v>0.91</v>
      </c>
      <c r="AA6" s="36" t="n">
        <f aca="false">INDEX(Parameters!$C$39:$C$41,MATCH(Z6,Parameters!$A$39:$A$41,1))</f>
        <v>1</v>
      </c>
      <c r="AB6" s="38" t="n">
        <f aca="false">IF(H6&lt;Parameters!$B$51,0,(MIN(X6,Y6)+W6)*AA6)</f>
        <v>17000</v>
      </c>
    </row>
    <row r="7" customFormat="false" ht="15" hidden="false" customHeight="false" outlineLevel="0" collapsed="false">
      <c r="A7" s="25" t="n">
        <v>3</v>
      </c>
      <c r="B7" s="34" t="s">
        <v>168</v>
      </c>
      <c r="C7" s="34" t="s">
        <v>169</v>
      </c>
      <c r="D7" s="34" t="s">
        <v>164</v>
      </c>
      <c r="E7" s="34" t="s">
        <v>165</v>
      </c>
      <c r="F7" s="15" t="n">
        <f aca="false">Parameters!$B$15</f>
        <v>20</v>
      </c>
      <c r="G7" s="35" t="n">
        <v>15</v>
      </c>
      <c r="H7" s="20" t="n">
        <f aca="false">IFERROR(G7/F7,0)</f>
        <v>0.75</v>
      </c>
      <c r="I7" s="36" t="n">
        <f aca="false">INDEX(Parameters!$C$20:$C$26,MATCH(H7,Parameters!$A$20:$A$26,1))</f>
        <v>0.6</v>
      </c>
      <c r="J7" s="9" t="n">
        <f aca="false">Parameters!$B$5*Parameters!$B$6*I7</f>
        <v>5400</v>
      </c>
      <c r="K7" s="35" t="n">
        <v>600</v>
      </c>
      <c r="L7" s="35" t="n">
        <v>540</v>
      </c>
      <c r="M7" s="20" t="n">
        <f aca="false">IFERROR(L7/K7,0)</f>
        <v>0.9</v>
      </c>
      <c r="N7" s="36" t="n">
        <f aca="false">INDEX(Parameters!$C$30:$C$35,MATCH(M7,Parameters!$A$30:$A$35,1))</f>
        <v>0.8</v>
      </c>
      <c r="O7" s="9" t="n">
        <f aca="false">Parameters!$B$5*Parameters!$B$7*N7</f>
        <v>4800</v>
      </c>
      <c r="P7" s="24" t="n">
        <f aca="false">MAX(0,G7-F7)</f>
        <v>0</v>
      </c>
      <c r="Q7" s="9" t="n">
        <f aca="false">P7*Parameters!$B$8</f>
        <v>0</v>
      </c>
      <c r="R7" s="35" t="n">
        <v>5</v>
      </c>
      <c r="S7" s="9" t="n">
        <f aca="false">MIN(R7,G7)*Parameters!$B$9</f>
        <v>1500</v>
      </c>
      <c r="T7" s="35" t="n">
        <v>3</v>
      </c>
      <c r="U7" s="9" t="n">
        <f aca="false">MIN(T7,Parameters!$B$11)*Parameters!$B$10</f>
        <v>1500</v>
      </c>
      <c r="V7" s="25" t="str">
        <f aca="false">IF(H7&gt;=1,1+COUNTIFS($H$5:$H$18,"&gt;"&amp;H7,$H$5:$H$18,"&gt;=1"),"")</f>
        <v/>
      </c>
      <c r="W7" s="9" t="n">
        <f aca="false">IF(AND(ISNUMBER(V7),V7&lt;=3),INDEX(Parameters!$B$45:$B$47,V7),0)</f>
        <v>0</v>
      </c>
      <c r="X7" s="9" t="n">
        <f aca="false">J7+O7+Q7+S7+U7</f>
        <v>13200</v>
      </c>
      <c r="Y7" s="9" t="n">
        <f aca="false">Parameters!$B$13*Parameters!$B$5</f>
        <v>30000</v>
      </c>
      <c r="Z7" s="37" t="n">
        <v>0.88</v>
      </c>
      <c r="AA7" s="36" t="n">
        <f aca="false">INDEX(Parameters!$C$39:$C$41,MATCH(Z7,Parameters!$A$39:$A$41,1))</f>
        <v>0.75</v>
      </c>
      <c r="AB7" s="38" t="n">
        <f aca="false">IF(H7&lt;Parameters!$B$51,0,(MIN(X7,Y7)+W7)*AA7)</f>
        <v>9900</v>
      </c>
    </row>
    <row r="8" customFormat="false" ht="15" hidden="false" customHeight="false" outlineLevel="0" collapsed="false">
      <c r="A8" s="25" t="n">
        <v>4</v>
      </c>
      <c r="B8" s="34" t="s">
        <v>170</v>
      </c>
      <c r="C8" s="34" t="s">
        <v>171</v>
      </c>
      <c r="D8" s="34" t="s">
        <v>172</v>
      </c>
      <c r="E8" s="34" t="s">
        <v>165</v>
      </c>
      <c r="F8" s="15" t="n">
        <f aca="false">Parameters!$B$15</f>
        <v>20</v>
      </c>
      <c r="G8" s="35" t="n">
        <v>20</v>
      </c>
      <c r="H8" s="20" t="n">
        <f aca="false">IFERROR(G8/F8,0)</f>
        <v>1</v>
      </c>
      <c r="I8" s="36" t="n">
        <f aca="false">INDEX(Parameters!$C$20:$C$26,MATCH(H8,Parameters!$A$20:$A$26,1))</f>
        <v>1</v>
      </c>
      <c r="J8" s="9" t="n">
        <f aca="false">Parameters!$B$5*Parameters!$B$6*I8</f>
        <v>9000</v>
      </c>
      <c r="K8" s="35" t="n">
        <v>700</v>
      </c>
      <c r="L8" s="35" t="n">
        <v>720</v>
      </c>
      <c r="M8" s="20" t="n">
        <f aca="false">IFERROR(L8/K8,0)</f>
        <v>1.02857142857143</v>
      </c>
      <c r="N8" s="36" t="n">
        <f aca="false">INDEX(Parameters!$C$30:$C$35,MATCH(M8,Parameters!$A$30:$A$35,1))</f>
        <v>1</v>
      </c>
      <c r="O8" s="9" t="n">
        <f aca="false">Parameters!$B$5*Parameters!$B$7*N8</f>
        <v>6000</v>
      </c>
      <c r="P8" s="24" t="n">
        <f aca="false">MAX(0,G8-F8)</f>
        <v>0</v>
      </c>
      <c r="Q8" s="9" t="n">
        <f aca="false">P8*Parameters!$B$8</f>
        <v>0</v>
      </c>
      <c r="R8" s="35" t="n">
        <v>8</v>
      </c>
      <c r="S8" s="9" t="n">
        <f aca="false">MIN(R8,G8)*Parameters!$B$9</f>
        <v>2400</v>
      </c>
      <c r="T8" s="35" t="n">
        <v>4</v>
      </c>
      <c r="U8" s="9" t="n">
        <f aca="false">MIN(T8,Parameters!$B$11)*Parameters!$B$10</f>
        <v>2000</v>
      </c>
      <c r="V8" s="25" t="n">
        <f aca="false">IF(H8&gt;=1,1+COUNTIFS($H$5:$H$18,"&gt;"&amp;H8,$H$5:$H$18,"&gt;=1"),"")</f>
        <v>6</v>
      </c>
      <c r="W8" s="9" t="n">
        <f aca="false">IF(AND(ISNUMBER(V8),V8&lt;=3),INDEX(Parameters!$B$45:$B$47,V8),0)</f>
        <v>0</v>
      </c>
      <c r="X8" s="9" t="n">
        <f aca="false">J8+O8+Q8+S8+U8</f>
        <v>19400</v>
      </c>
      <c r="Y8" s="9" t="n">
        <f aca="false">Parameters!$B$13*Parameters!$B$5</f>
        <v>30000</v>
      </c>
      <c r="Z8" s="37" t="n">
        <v>0.95</v>
      </c>
      <c r="AA8" s="36" t="n">
        <f aca="false">INDEX(Parameters!$C$39:$C$41,MATCH(Z8,Parameters!$A$39:$A$41,1))</f>
        <v>1</v>
      </c>
      <c r="AB8" s="38" t="n">
        <f aca="false">IF(H8&lt;Parameters!$B$51,0,(MIN(X8,Y8)+W8)*AA8)</f>
        <v>19400</v>
      </c>
    </row>
    <row r="9" customFormat="false" ht="15" hidden="false" customHeight="false" outlineLevel="0" collapsed="false">
      <c r="A9" s="25" t="n">
        <v>5</v>
      </c>
      <c r="B9" s="34" t="s">
        <v>173</v>
      </c>
      <c r="C9" s="34" t="s">
        <v>174</v>
      </c>
      <c r="D9" s="34" t="s">
        <v>172</v>
      </c>
      <c r="E9" s="34" t="s">
        <v>175</v>
      </c>
      <c r="F9" s="15" t="n">
        <f aca="false">Parameters!$B$15</f>
        <v>20</v>
      </c>
      <c r="G9" s="35" t="n">
        <v>21</v>
      </c>
      <c r="H9" s="20" t="n">
        <f aca="false">IFERROR(G9/F9,0)</f>
        <v>1.05</v>
      </c>
      <c r="I9" s="36" t="n">
        <f aca="false">INDEX(Parameters!$C$20:$C$26,MATCH(H9,Parameters!$A$20:$A$26,1))</f>
        <v>1</v>
      </c>
      <c r="J9" s="9" t="n">
        <f aca="false">Parameters!$B$5*Parameters!$B$6*I9</f>
        <v>9000</v>
      </c>
      <c r="K9" s="35" t="n">
        <v>800</v>
      </c>
      <c r="L9" s="35" t="n">
        <v>850</v>
      </c>
      <c r="M9" s="20" t="n">
        <f aca="false">IFERROR(L9/K9,0)</f>
        <v>1.0625</v>
      </c>
      <c r="N9" s="36" t="n">
        <f aca="false">INDEX(Parameters!$C$30:$C$35,MATCH(M9,Parameters!$A$30:$A$35,1))</f>
        <v>1</v>
      </c>
      <c r="O9" s="9" t="n">
        <f aca="false">Parameters!$B$5*Parameters!$B$7*N9</f>
        <v>6000</v>
      </c>
      <c r="P9" s="24" t="n">
        <f aca="false">MAX(0,G9-F9)</f>
        <v>1</v>
      </c>
      <c r="Q9" s="9" t="n">
        <f aca="false">P9*Parameters!$B$8</f>
        <v>1000</v>
      </c>
      <c r="R9" s="35" t="n">
        <v>9</v>
      </c>
      <c r="S9" s="9" t="n">
        <f aca="false">MIN(R9,G9)*Parameters!$B$9</f>
        <v>2700</v>
      </c>
      <c r="T9" s="35" t="n">
        <v>4</v>
      </c>
      <c r="U9" s="9" t="n">
        <f aca="false">MIN(T9,Parameters!$B$11)*Parameters!$B$10</f>
        <v>2000</v>
      </c>
      <c r="V9" s="25" t="n">
        <f aca="false">IF(H9&gt;=1,1+COUNTIFS($H$5:$H$18,"&gt;"&amp;H9,$H$5:$H$18,"&gt;=1"),"")</f>
        <v>4</v>
      </c>
      <c r="W9" s="9" t="n">
        <f aca="false">IF(AND(ISNUMBER(V9),V9&lt;=3),INDEX(Parameters!$B$45:$B$47,V9),0)</f>
        <v>0</v>
      </c>
      <c r="X9" s="9" t="n">
        <f aca="false">J9+O9+Q9+S9+U9</f>
        <v>20700</v>
      </c>
      <c r="Y9" s="9" t="n">
        <f aca="false">Parameters!$B$13*Parameters!$B$5</f>
        <v>30000</v>
      </c>
      <c r="Z9" s="37" t="n">
        <v>0.92</v>
      </c>
      <c r="AA9" s="36" t="n">
        <f aca="false">INDEX(Parameters!$C$39:$C$41,MATCH(Z9,Parameters!$A$39:$A$41,1))</f>
        <v>1</v>
      </c>
      <c r="AB9" s="38" t="n">
        <f aca="false">IF(H9&lt;Parameters!$B$51,0,(MIN(X9,Y9)+W9)*AA9)</f>
        <v>20700</v>
      </c>
    </row>
    <row r="10" customFormat="false" ht="15" hidden="false" customHeight="false" outlineLevel="0" collapsed="false">
      <c r="A10" s="25" t="n">
        <v>6</v>
      </c>
      <c r="B10" s="34" t="s">
        <v>176</v>
      </c>
      <c r="C10" s="34" t="s">
        <v>177</v>
      </c>
      <c r="D10" s="34" t="s">
        <v>172</v>
      </c>
      <c r="E10" s="34" t="s">
        <v>175</v>
      </c>
      <c r="F10" s="15" t="n">
        <f aca="false">Parameters!$B$15</f>
        <v>20</v>
      </c>
      <c r="G10" s="35" t="n">
        <v>13</v>
      </c>
      <c r="H10" s="20" t="n">
        <f aca="false">IFERROR(G10/F10,0)</f>
        <v>0.65</v>
      </c>
      <c r="I10" s="36" t="n">
        <f aca="false">INDEX(Parameters!$C$20:$C$26,MATCH(H10,Parameters!$A$20:$A$26,1))</f>
        <v>0.4</v>
      </c>
      <c r="J10" s="9" t="n">
        <f aca="false">Parameters!$B$5*Parameters!$B$6*I10</f>
        <v>3600</v>
      </c>
      <c r="K10" s="35" t="n">
        <v>500</v>
      </c>
      <c r="L10" s="35" t="n">
        <v>410</v>
      </c>
      <c r="M10" s="20" t="n">
        <f aca="false">IFERROR(L10/K10,0)</f>
        <v>0.82</v>
      </c>
      <c r="N10" s="36" t="n">
        <f aca="false">INDEX(Parameters!$C$30:$C$35,MATCH(M10,Parameters!$A$30:$A$35,1))</f>
        <v>0.6</v>
      </c>
      <c r="O10" s="9" t="n">
        <f aca="false">Parameters!$B$5*Parameters!$B$7*N10</f>
        <v>3600</v>
      </c>
      <c r="P10" s="24" t="n">
        <f aca="false">MAX(0,G10-F10)</f>
        <v>0</v>
      </c>
      <c r="Q10" s="9" t="n">
        <f aca="false">P10*Parameters!$B$8</f>
        <v>0</v>
      </c>
      <c r="R10" s="35" t="n">
        <v>4</v>
      </c>
      <c r="S10" s="9" t="n">
        <f aca="false">MIN(R10,G10)*Parameters!$B$9</f>
        <v>1200</v>
      </c>
      <c r="T10" s="35" t="n">
        <v>2</v>
      </c>
      <c r="U10" s="9" t="n">
        <f aca="false">MIN(T10,Parameters!$B$11)*Parameters!$B$10</f>
        <v>1000</v>
      </c>
      <c r="V10" s="25" t="str">
        <f aca="false">IF(H10&gt;=1,1+COUNTIFS($H$5:$H$18,"&gt;"&amp;H10,$H$5:$H$18,"&gt;=1"),"")</f>
        <v/>
      </c>
      <c r="W10" s="9" t="n">
        <f aca="false">IF(AND(ISNUMBER(V10),V10&lt;=3),INDEX(Parameters!$B$45:$B$47,V10),0)</f>
        <v>0</v>
      </c>
      <c r="X10" s="9" t="n">
        <f aca="false">J10+O10+Q10+S10+U10</f>
        <v>9400</v>
      </c>
      <c r="Y10" s="9" t="n">
        <f aca="false">Parameters!$B$13*Parameters!$B$5</f>
        <v>30000</v>
      </c>
      <c r="Z10" s="37" t="n">
        <v>0.85</v>
      </c>
      <c r="AA10" s="36" t="n">
        <f aca="false">INDEX(Parameters!$C$39:$C$41,MATCH(Z10,Parameters!$A$39:$A$41,1))</f>
        <v>0.75</v>
      </c>
      <c r="AB10" s="38" t="n">
        <f aca="false">IF(H10&lt;Parameters!$B$51,0,(MIN(X10,Y10)+W10)*AA10)</f>
        <v>7050</v>
      </c>
    </row>
    <row r="11" customFormat="false" ht="15" hidden="false" customHeight="false" outlineLevel="0" collapsed="false">
      <c r="A11" s="25" t="n">
        <v>7</v>
      </c>
      <c r="B11" s="34" t="s">
        <v>178</v>
      </c>
      <c r="C11" s="34" t="s">
        <v>179</v>
      </c>
      <c r="D11" s="34" t="s">
        <v>180</v>
      </c>
      <c r="E11" s="34" t="s">
        <v>175</v>
      </c>
      <c r="F11" s="15" t="n">
        <f aca="false">Parameters!$B$15</f>
        <v>20</v>
      </c>
      <c r="G11" s="35" t="n">
        <v>26</v>
      </c>
      <c r="H11" s="20" t="n">
        <f aca="false">IFERROR(G11/F11,0)</f>
        <v>1.3</v>
      </c>
      <c r="I11" s="36" t="n">
        <f aca="false">INDEX(Parameters!$C$20:$C$26,MATCH(H11,Parameters!$A$20:$A$26,1))</f>
        <v>1.25</v>
      </c>
      <c r="J11" s="9" t="n">
        <f aca="false">Parameters!$B$5*Parameters!$B$6*I11</f>
        <v>11250</v>
      </c>
      <c r="K11" s="35" t="n">
        <v>1200</v>
      </c>
      <c r="L11" s="35" t="n">
        <v>1420</v>
      </c>
      <c r="M11" s="20" t="n">
        <f aca="false">IFERROR(L11/K11,0)</f>
        <v>1.18333333333333</v>
      </c>
      <c r="N11" s="36" t="n">
        <f aca="false">INDEX(Parameters!$C$30:$C$35,MATCH(M11,Parameters!$A$30:$A$35,1))</f>
        <v>1.2</v>
      </c>
      <c r="O11" s="9" t="n">
        <f aca="false">Parameters!$B$5*Parameters!$B$7*N11</f>
        <v>7200</v>
      </c>
      <c r="P11" s="24" t="n">
        <f aca="false">MAX(0,G11-F11)</f>
        <v>6</v>
      </c>
      <c r="Q11" s="9" t="n">
        <f aca="false">P11*Parameters!$B$8</f>
        <v>6000</v>
      </c>
      <c r="R11" s="35" t="n">
        <v>12</v>
      </c>
      <c r="S11" s="9" t="n">
        <f aca="false">MIN(R11,G11)*Parameters!$B$9</f>
        <v>3600</v>
      </c>
      <c r="T11" s="35" t="n">
        <v>4</v>
      </c>
      <c r="U11" s="9" t="n">
        <f aca="false">MIN(T11,Parameters!$B$11)*Parameters!$B$10</f>
        <v>2000</v>
      </c>
      <c r="V11" s="25" t="n">
        <f aca="false">IF(H11&gt;=1,1+COUNTIFS($H$5:$H$18,"&gt;"&amp;H11,$H$5:$H$18,"&gt;=1"),"")</f>
        <v>1</v>
      </c>
      <c r="W11" s="9" t="n">
        <f aca="false">IF(AND(ISNUMBER(V11),V11&lt;=3),INDEX(Parameters!$B$45:$B$47,V11),0)</f>
        <v>10000</v>
      </c>
      <c r="X11" s="9" t="n">
        <f aca="false">J11+O11+Q11+S11+U11</f>
        <v>30050</v>
      </c>
      <c r="Y11" s="9" t="n">
        <f aca="false">Parameters!$B$13*Parameters!$B$5</f>
        <v>30000</v>
      </c>
      <c r="Z11" s="37" t="n">
        <v>0.94</v>
      </c>
      <c r="AA11" s="36" t="n">
        <f aca="false">INDEX(Parameters!$C$39:$C$41,MATCH(Z11,Parameters!$A$39:$A$41,1))</f>
        <v>1</v>
      </c>
      <c r="AB11" s="38" t="n">
        <f aca="false">IF(H11&lt;Parameters!$B$51,0,(MIN(X11,Y11)+W11)*AA11)</f>
        <v>40000</v>
      </c>
    </row>
    <row r="12" customFormat="false" ht="15" hidden="false" customHeight="false" outlineLevel="0" collapsed="false">
      <c r="A12" s="25" t="n">
        <v>8</v>
      </c>
      <c r="B12" s="34" t="s">
        <v>181</v>
      </c>
      <c r="C12" s="34" t="s">
        <v>182</v>
      </c>
      <c r="D12" s="34" t="s">
        <v>180</v>
      </c>
      <c r="E12" s="34" t="s">
        <v>175</v>
      </c>
      <c r="F12" s="15" t="n">
        <f aca="false">Parameters!$B$15</f>
        <v>20</v>
      </c>
      <c r="G12" s="35" t="n">
        <v>20</v>
      </c>
      <c r="H12" s="20" t="n">
        <f aca="false">IFERROR(G12/F12,0)</f>
        <v>1</v>
      </c>
      <c r="I12" s="36" t="n">
        <f aca="false">INDEX(Parameters!$C$20:$C$26,MATCH(H12,Parameters!$A$20:$A$26,1))</f>
        <v>1</v>
      </c>
      <c r="J12" s="9" t="n">
        <f aca="false">Parameters!$B$5*Parameters!$B$6*I12</f>
        <v>9000</v>
      </c>
      <c r="K12" s="35" t="n">
        <v>900</v>
      </c>
      <c r="L12" s="35" t="n">
        <v>880</v>
      </c>
      <c r="M12" s="20" t="n">
        <f aca="false">IFERROR(L12/K12,0)</f>
        <v>0.977777777777778</v>
      </c>
      <c r="N12" s="36" t="n">
        <f aca="false">INDEX(Parameters!$C$30:$C$35,MATCH(M12,Parameters!$A$30:$A$35,1))</f>
        <v>0.8</v>
      </c>
      <c r="O12" s="9" t="n">
        <f aca="false">Parameters!$B$5*Parameters!$B$7*N12</f>
        <v>4800</v>
      </c>
      <c r="P12" s="24" t="n">
        <f aca="false">MAX(0,G12-F12)</f>
        <v>0</v>
      </c>
      <c r="Q12" s="9" t="n">
        <f aca="false">P12*Parameters!$B$8</f>
        <v>0</v>
      </c>
      <c r="R12" s="35" t="n">
        <v>8</v>
      </c>
      <c r="S12" s="9" t="n">
        <f aca="false">MIN(R12,G12)*Parameters!$B$9</f>
        <v>2400</v>
      </c>
      <c r="T12" s="35" t="n">
        <v>4</v>
      </c>
      <c r="U12" s="9" t="n">
        <f aca="false">MIN(T12,Parameters!$B$11)*Parameters!$B$10</f>
        <v>2000</v>
      </c>
      <c r="V12" s="25" t="n">
        <f aca="false">IF(H12&gt;=1,1+COUNTIFS($H$5:$H$18,"&gt;"&amp;H12,$H$5:$H$18,"&gt;=1"),"")</f>
        <v>6</v>
      </c>
      <c r="W12" s="9" t="n">
        <f aca="false">IF(AND(ISNUMBER(V12),V12&lt;=3),INDEX(Parameters!$B$45:$B$47,V12),0)</f>
        <v>0</v>
      </c>
      <c r="X12" s="9" t="n">
        <f aca="false">J12+O12+Q12+S12+U12</f>
        <v>18200</v>
      </c>
      <c r="Y12" s="9" t="n">
        <f aca="false">Parameters!$B$13*Parameters!$B$5</f>
        <v>30000</v>
      </c>
      <c r="Z12" s="37" t="n">
        <v>0.92</v>
      </c>
      <c r="AA12" s="36" t="n">
        <f aca="false">INDEX(Parameters!$C$39:$C$41,MATCH(Z12,Parameters!$A$39:$A$41,1))</f>
        <v>1</v>
      </c>
      <c r="AB12" s="38" t="n">
        <f aca="false">IF(H12&lt;Parameters!$B$51,0,(MIN(X12,Y12)+W12)*AA12)</f>
        <v>18200</v>
      </c>
    </row>
    <row r="13" customFormat="false" ht="15" hidden="false" customHeight="false" outlineLevel="0" collapsed="false">
      <c r="A13" s="25" t="n">
        <v>9</v>
      </c>
      <c r="B13" s="34" t="s">
        <v>183</v>
      </c>
      <c r="C13" s="34" t="s">
        <v>184</v>
      </c>
      <c r="D13" s="34" t="s">
        <v>185</v>
      </c>
      <c r="E13" s="34" t="s">
        <v>186</v>
      </c>
      <c r="F13" s="15" t="n">
        <f aca="false">Parameters!$B$15</f>
        <v>20</v>
      </c>
      <c r="G13" s="35" t="n">
        <v>17</v>
      </c>
      <c r="H13" s="20" t="n">
        <f aca="false">IFERROR(G13/F13,0)</f>
        <v>0.85</v>
      </c>
      <c r="I13" s="36" t="n">
        <f aca="false">INDEX(Parameters!$C$20:$C$26,MATCH(H13,Parameters!$A$20:$A$26,1))</f>
        <v>0.8</v>
      </c>
      <c r="J13" s="9" t="n">
        <f aca="false">Parameters!$B$5*Parameters!$B$6*I13</f>
        <v>7200</v>
      </c>
      <c r="K13" s="35" t="n">
        <v>700</v>
      </c>
      <c r="L13" s="35" t="n">
        <v>640</v>
      </c>
      <c r="M13" s="20" t="n">
        <f aca="false">IFERROR(L13/K13,0)</f>
        <v>0.914285714285714</v>
      </c>
      <c r="N13" s="36" t="n">
        <f aca="false">INDEX(Parameters!$C$30:$C$35,MATCH(M13,Parameters!$A$30:$A$35,1))</f>
        <v>0.8</v>
      </c>
      <c r="O13" s="9" t="n">
        <f aca="false">Parameters!$B$5*Parameters!$B$7*N13</f>
        <v>4800</v>
      </c>
      <c r="P13" s="24" t="n">
        <f aca="false">MAX(0,G13-F13)</f>
        <v>0</v>
      </c>
      <c r="Q13" s="9" t="n">
        <f aca="false">P13*Parameters!$B$8</f>
        <v>0</v>
      </c>
      <c r="R13" s="35" t="n">
        <v>6</v>
      </c>
      <c r="S13" s="9" t="n">
        <f aca="false">MIN(R13,G13)*Parameters!$B$9</f>
        <v>1800</v>
      </c>
      <c r="T13" s="35" t="n">
        <v>3</v>
      </c>
      <c r="U13" s="9" t="n">
        <f aca="false">MIN(T13,Parameters!$B$11)*Parameters!$B$10</f>
        <v>1500</v>
      </c>
      <c r="V13" s="25" t="str">
        <f aca="false">IF(H13&gt;=1,1+COUNTIFS($H$5:$H$18,"&gt;"&amp;H13,$H$5:$H$18,"&gt;=1"),"")</f>
        <v/>
      </c>
      <c r="W13" s="9" t="n">
        <f aca="false">IF(AND(ISNUMBER(V13),V13&lt;=3),INDEX(Parameters!$B$45:$B$47,V13),0)</f>
        <v>0</v>
      </c>
      <c r="X13" s="9" t="n">
        <f aca="false">J13+O13+Q13+S13+U13</f>
        <v>15300</v>
      </c>
      <c r="Y13" s="9" t="n">
        <f aca="false">Parameters!$B$13*Parameters!$B$5</f>
        <v>30000</v>
      </c>
      <c r="Z13" s="37" t="n">
        <v>0.86</v>
      </c>
      <c r="AA13" s="36" t="n">
        <f aca="false">INDEX(Parameters!$C$39:$C$41,MATCH(Z13,Parameters!$A$39:$A$41,1))</f>
        <v>0.75</v>
      </c>
      <c r="AB13" s="38" t="n">
        <f aca="false">IF(H13&lt;Parameters!$B$51,0,(MIN(X13,Y13)+W13)*AA13)</f>
        <v>11475</v>
      </c>
    </row>
    <row r="14" customFormat="false" ht="15" hidden="false" customHeight="false" outlineLevel="0" collapsed="false">
      <c r="A14" s="25" t="n">
        <v>10</v>
      </c>
      <c r="B14" s="34" t="s">
        <v>187</v>
      </c>
      <c r="C14" s="34" t="s">
        <v>188</v>
      </c>
      <c r="D14" s="34" t="s">
        <v>185</v>
      </c>
      <c r="E14" s="34" t="s">
        <v>186</v>
      </c>
      <c r="F14" s="15" t="n">
        <f aca="false">Parameters!$B$15</f>
        <v>20</v>
      </c>
      <c r="G14" s="35" t="n">
        <v>21</v>
      </c>
      <c r="H14" s="20" t="n">
        <f aca="false">IFERROR(G14/F14,0)</f>
        <v>1.05</v>
      </c>
      <c r="I14" s="36" t="n">
        <f aca="false">INDEX(Parameters!$C$20:$C$26,MATCH(H14,Parameters!$A$20:$A$26,1))</f>
        <v>1</v>
      </c>
      <c r="J14" s="9" t="n">
        <f aca="false">Parameters!$B$5*Parameters!$B$6*I14</f>
        <v>9000</v>
      </c>
      <c r="K14" s="35" t="n">
        <v>800</v>
      </c>
      <c r="L14" s="35" t="n">
        <v>900</v>
      </c>
      <c r="M14" s="20" t="n">
        <f aca="false">IFERROR(L14/K14,0)</f>
        <v>1.125</v>
      </c>
      <c r="N14" s="36" t="n">
        <f aca="false">INDEX(Parameters!$C$30:$C$35,MATCH(M14,Parameters!$A$30:$A$35,1))</f>
        <v>1.2</v>
      </c>
      <c r="O14" s="9" t="n">
        <f aca="false">Parameters!$B$5*Parameters!$B$7*N14</f>
        <v>7200</v>
      </c>
      <c r="P14" s="24" t="n">
        <f aca="false">MAX(0,G14-F14)</f>
        <v>1</v>
      </c>
      <c r="Q14" s="9" t="n">
        <f aca="false">P14*Parameters!$B$8</f>
        <v>1000</v>
      </c>
      <c r="R14" s="35" t="n">
        <v>9</v>
      </c>
      <c r="S14" s="9" t="n">
        <f aca="false">MIN(R14,G14)*Parameters!$B$9</f>
        <v>2700</v>
      </c>
      <c r="T14" s="35" t="n">
        <v>4</v>
      </c>
      <c r="U14" s="9" t="n">
        <f aca="false">MIN(T14,Parameters!$B$11)*Parameters!$B$10</f>
        <v>2000</v>
      </c>
      <c r="V14" s="25" t="n">
        <f aca="false">IF(H14&gt;=1,1+COUNTIFS($H$5:$H$18,"&gt;"&amp;H14,$H$5:$H$18,"&gt;=1"),"")</f>
        <v>4</v>
      </c>
      <c r="W14" s="9" t="n">
        <f aca="false">IF(AND(ISNUMBER(V14),V14&lt;=3),INDEX(Parameters!$B$45:$B$47,V14),0)</f>
        <v>0</v>
      </c>
      <c r="X14" s="9" t="n">
        <f aca="false">J14+O14+Q14+S14+U14</f>
        <v>21900</v>
      </c>
      <c r="Y14" s="9" t="n">
        <f aca="false">Parameters!$B$13*Parameters!$B$5</f>
        <v>30000</v>
      </c>
      <c r="Z14" s="37" t="n">
        <v>0.93</v>
      </c>
      <c r="AA14" s="36" t="n">
        <f aca="false">INDEX(Parameters!$C$39:$C$41,MATCH(Z14,Parameters!$A$39:$A$41,1))</f>
        <v>1</v>
      </c>
      <c r="AB14" s="38" t="n">
        <f aca="false">IF(H14&lt;Parameters!$B$51,0,(MIN(X14,Y14)+W14)*AA14)</f>
        <v>21900</v>
      </c>
    </row>
    <row r="15" customFormat="false" ht="15" hidden="false" customHeight="false" outlineLevel="0" collapsed="false">
      <c r="A15" s="25" t="n">
        <v>11</v>
      </c>
      <c r="B15" s="34" t="s">
        <v>189</v>
      </c>
      <c r="C15" s="34" t="s">
        <v>190</v>
      </c>
      <c r="D15" s="34" t="s">
        <v>185</v>
      </c>
      <c r="E15" s="34" t="s">
        <v>186</v>
      </c>
      <c r="F15" s="15" t="n">
        <f aca="false">Parameters!$B$15</f>
        <v>20</v>
      </c>
      <c r="G15" s="35" t="n">
        <v>23</v>
      </c>
      <c r="H15" s="20" t="n">
        <f aca="false">IFERROR(G15/F15,0)</f>
        <v>1.15</v>
      </c>
      <c r="I15" s="36" t="n">
        <f aca="false">INDEX(Parameters!$C$20:$C$26,MATCH(H15,Parameters!$A$20:$A$26,1))</f>
        <v>1</v>
      </c>
      <c r="J15" s="9" t="n">
        <f aca="false">Parameters!$B$5*Parameters!$B$6*I15</f>
        <v>9000</v>
      </c>
      <c r="K15" s="35" t="n">
        <v>900</v>
      </c>
      <c r="L15" s="35" t="n">
        <v>980</v>
      </c>
      <c r="M15" s="20" t="n">
        <f aca="false">IFERROR(L15/K15,0)</f>
        <v>1.08888888888889</v>
      </c>
      <c r="N15" s="36" t="n">
        <f aca="false">INDEX(Parameters!$C$30:$C$35,MATCH(M15,Parameters!$A$30:$A$35,1))</f>
        <v>1</v>
      </c>
      <c r="O15" s="9" t="n">
        <f aca="false">Parameters!$B$5*Parameters!$B$7*N15</f>
        <v>6000</v>
      </c>
      <c r="P15" s="24" t="n">
        <f aca="false">MAX(0,G15-F15)</f>
        <v>3</v>
      </c>
      <c r="Q15" s="9" t="n">
        <f aca="false">P15*Parameters!$B$8</f>
        <v>3000</v>
      </c>
      <c r="R15" s="35" t="n">
        <v>10</v>
      </c>
      <c r="S15" s="9" t="n">
        <f aca="false">MIN(R15,G15)*Parameters!$B$9</f>
        <v>3000</v>
      </c>
      <c r="T15" s="35" t="n">
        <v>4</v>
      </c>
      <c r="U15" s="9" t="n">
        <f aca="false">MIN(T15,Parameters!$B$11)*Parameters!$B$10</f>
        <v>2000</v>
      </c>
      <c r="V15" s="25" t="n">
        <f aca="false">IF(H15&gt;=1,1+COUNTIFS($H$5:$H$18,"&gt;"&amp;H15,$H$5:$H$18,"&gt;=1"),"")</f>
        <v>2</v>
      </c>
      <c r="W15" s="9" t="n">
        <f aca="false">IF(AND(ISNUMBER(V15),V15&lt;=3),INDEX(Parameters!$B$45:$B$47,V15),0)</f>
        <v>7000</v>
      </c>
      <c r="X15" s="9" t="n">
        <f aca="false">J15+O15+Q15+S15+U15</f>
        <v>23000</v>
      </c>
      <c r="Y15" s="9" t="n">
        <f aca="false">Parameters!$B$13*Parameters!$B$5</f>
        <v>30000</v>
      </c>
      <c r="Z15" s="37" t="n">
        <v>0.96</v>
      </c>
      <c r="AA15" s="36" t="n">
        <f aca="false">INDEX(Parameters!$C$39:$C$41,MATCH(Z15,Parameters!$A$39:$A$41,1))</f>
        <v>1</v>
      </c>
      <c r="AB15" s="38" t="n">
        <f aca="false">IF(H15&lt;Parameters!$B$51,0,(MIN(X15,Y15)+W15)*AA15)</f>
        <v>30000</v>
      </c>
    </row>
    <row r="16" customFormat="false" ht="15" hidden="false" customHeight="false" outlineLevel="0" collapsed="false">
      <c r="A16" s="25" t="n">
        <v>12</v>
      </c>
      <c r="B16" s="34" t="s">
        <v>191</v>
      </c>
      <c r="C16" s="34" t="s">
        <v>192</v>
      </c>
      <c r="D16" s="34" t="s">
        <v>193</v>
      </c>
      <c r="E16" s="34" t="s">
        <v>186</v>
      </c>
      <c r="F16" s="15" t="n">
        <f aca="false">Parameters!$B$15</f>
        <v>20</v>
      </c>
      <c r="G16" s="35" t="n">
        <v>12</v>
      </c>
      <c r="H16" s="20" t="n">
        <f aca="false">IFERROR(G16/F16,0)</f>
        <v>0.6</v>
      </c>
      <c r="I16" s="36" t="n">
        <f aca="false">INDEX(Parameters!$C$20:$C$26,MATCH(H16,Parameters!$A$20:$A$26,1))</f>
        <v>0.4</v>
      </c>
      <c r="J16" s="9" t="n">
        <f aca="false">Parameters!$B$5*Parameters!$B$6*I16</f>
        <v>3600</v>
      </c>
      <c r="K16" s="35" t="n">
        <v>400</v>
      </c>
      <c r="L16" s="35" t="n">
        <v>330</v>
      </c>
      <c r="M16" s="20" t="n">
        <f aca="false">IFERROR(L16/K16,0)</f>
        <v>0.825</v>
      </c>
      <c r="N16" s="36" t="n">
        <f aca="false">INDEX(Parameters!$C$30:$C$35,MATCH(M16,Parameters!$A$30:$A$35,1))</f>
        <v>0.6</v>
      </c>
      <c r="O16" s="9" t="n">
        <f aca="false">Parameters!$B$5*Parameters!$B$7*N16</f>
        <v>3600</v>
      </c>
      <c r="P16" s="24" t="n">
        <f aca="false">MAX(0,G16-F16)</f>
        <v>0</v>
      </c>
      <c r="Q16" s="9" t="n">
        <f aca="false">P16*Parameters!$B$8</f>
        <v>0</v>
      </c>
      <c r="R16" s="35" t="n">
        <v>3</v>
      </c>
      <c r="S16" s="9" t="n">
        <f aca="false">MIN(R16,G16)*Parameters!$B$9</f>
        <v>900</v>
      </c>
      <c r="T16" s="35" t="n">
        <v>2</v>
      </c>
      <c r="U16" s="9" t="n">
        <f aca="false">MIN(T16,Parameters!$B$11)*Parameters!$B$10</f>
        <v>1000</v>
      </c>
      <c r="V16" s="25" t="str">
        <f aca="false">IF(H16&gt;=1,1+COUNTIFS($H$5:$H$18,"&gt;"&amp;H16,$H$5:$H$18,"&gt;=1"),"")</f>
        <v/>
      </c>
      <c r="W16" s="9" t="n">
        <f aca="false">IF(AND(ISNUMBER(V16),V16&lt;=3),INDEX(Parameters!$B$45:$B$47,V16),0)</f>
        <v>0</v>
      </c>
      <c r="X16" s="9" t="n">
        <f aca="false">J16+O16+Q16+S16+U16</f>
        <v>9100</v>
      </c>
      <c r="Y16" s="9" t="n">
        <f aca="false">Parameters!$B$13*Parameters!$B$5</f>
        <v>30000</v>
      </c>
      <c r="Z16" s="37" t="n">
        <v>0.9</v>
      </c>
      <c r="AA16" s="36" t="n">
        <f aca="false">INDEX(Parameters!$C$39:$C$41,MATCH(Z16,Parameters!$A$39:$A$41,1))</f>
        <v>1</v>
      </c>
      <c r="AB16" s="38" t="n">
        <f aca="false">IF(H16&lt;Parameters!$B$51,0,(MIN(X16,Y16)+W16)*AA16)</f>
        <v>9100</v>
      </c>
    </row>
    <row r="17" customFormat="false" ht="15" hidden="false" customHeight="false" outlineLevel="0" collapsed="false">
      <c r="A17" s="25" t="n">
        <v>13</v>
      </c>
      <c r="B17" s="34" t="s">
        <v>194</v>
      </c>
      <c r="C17" s="34" t="s">
        <v>195</v>
      </c>
      <c r="D17" s="34" t="s">
        <v>193</v>
      </c>
      <c r="E17" s="34" t="s">
        <v>186</v>
      </c>
      <c r="F17" s="15" t="n">
        <f aca="false">Parameters!$B$15</f>
        <v>20</v>
      </c>
      <c r="G17" s="35" t="n">
        <v>18</v>
      </c>
      <c r="H17" s="20" t="n">
        <f aca="false">IFERROR(G17/F17,0)</f>
        <v>0.9</v>
      </c>
      <c r="I17" s="36" t="n">
        <f aca="false">INDEX(Parameters!$C$20:$C$26,MATCH(H17,Parameters!$A$20:$A$26,1))</f>
        <v>0.9</v>
      </c>
      <c r="J17" s="9" t="n">
        <f aca="false">Parameters!$B$5*Parameters!$B$6*I17</f>
        <v>8100</v>
      </c>
      <c r="K17" s="35" t="n">
        <v>700</v>
      </c>
      <c r="L17" s="35" t="n">
        <v>690</v>
      </c>
      <c r="M17" s="20" t="n">
        <f aca="false">IFERROR(L17/K17,0)</f>
        <v>0.985714285714286</v>
      </c>
      <c r="N17" s="36" t="n">
        <f aca="false">INDEX(Parameters!$C$30:$C$35,MATCH(M17,Parameters!$A$30:$A$35,1))</f>
        <v>0.8</v>
      </c>
      <c r="O17" s="9" t="n">
        <f aca="false">Parameters!$B$5*Parameters!$B$7*N17</f>
        <v>4800</v>
      </c>
      <c r="P17" s="24" t="n">
        <f aca="false">MAX(0,G17-F17)</f>
        <v>0</v>
      </c>
      <c r="Q17" s="9" t="n">
        <f aca="false">P17*Parameters!$B$8</f>
        <v>0</v>
      </c>
      <c r="R17" s="35" t="n">
        <v>7</v>
      </c>
      <c r="S17" s="9" t="n">
        <f aca="false">MIN(R17,G17)*Parameters!$B$9</f>
        <v>2100</v>
      </c>
      <c r="T17" s="35" t="n">
        <v>3</v>
      </c>
      <c r="U17" s="9" t="n">
        <f aca="false">MIN(T17,Parameters!$B$11)*Parameters!$B$10</f>
        <v>1500</v>
      </c>
      <c r="V17" s="25" t="str">
        <f aca="false">IF(H17&gt;=1,1+COUNTIFS($H$5:$H$18,"&gt;"&amp;H17,$H$5:$H$18,"&gt;=1"),"")</f>
        <v/>
      </c>
      <c r="W17" s="9" t="n">
        <f aca="false">IF(AND(ISNUMBER(V17),V17&lt;=3),INDEX(Parameters!$B$45:$B$47,V17),0)</f>
        <v>0</v>
      </c>
      <c r="X17" s="9" t="n">
        <f aca="false">J17+O17+Q17+S17+U17</f>
        <v>16500</v>
      </c>
      <c r="Y17" s="9" t="n">
        <f aca="false">Parameters!$B$13*Parameters!$B$5</f>
        <v>30000</v>
      </c>
      <c r="Z17" s="37" t="n">
        <v>0.91</v>
      </c>
      <c r="AA17" s="36" t="n">
        <f aca="false">INDEX(Parameters!$C$39:$C$41,MATCH(Z17,Parameters!$A$39:$A$41,1))</f>
        <v>1</v>
      </c>
      <c r="AB17" s="38" t="n">
        <f aca="false">IF(H17&lt;Parameters!$B$51,0,(MIN(X17,Y17)+W17)*AA17)</f>
        <v>16500</v>
      </c>
    </row>
    <row r="18" customFormat="false" ht="15" hidden="false" customHeight="false" outlineLevel="0" collapsed="false">
      <c r="A18" s="25" t="n">
        <v>14</v>
      </c>
      <c r="B18" s="34" t="s">
        <v>196</v>
      </c>
      <c r="C18" s="34" t="s">
        <v>197</v>
      </c>
      <c r="D18" s="34" t="s">
        <v>193</v>
      </c>
      <c r="E18" s="34" t="s">
        <v>186</v>
      </c>
      <c r="F18" s="15" t="n">
        <f aca="false">Parameters!$B$15</f>
        <v>20</v>
      </c>
      <c r="G18" s="35" t="n">
        <v>14</v>
      </c>
      <c r="H18" s="20" t="n">
        <f aca="false">IFERROR(G18/F18,0)</f>
        <v>0.7</v>
      </c>
      <c r="I18" s="36" t="n">
        <f aca="false">INDEX(Parameters!$C$20:$C$26,MATCH(H18,Parameters!$A$20:$A$26,1))</f>
        <v>0.6</v>
      </c>
      <c r="J18" s="9" t="n">
        <f aca="false">Parameters!$B$5*Parameters!$B$6*I18</f>
        <v>5400</v>
      </c>
      <c r="K18" s="35" t="n">
        <v>500</v>
      </c>
      <c r="L18" s="35" t="n">
        <v>470</v>
      </c>
      <c r="M18" s="20" t="n">
        <f aca="false">IFERROR(L18/K18,0)</f>
        <v>0.94</v>
      </c>
      <c r="N18" s="36" t="n">
        <f aca="false">INDEX(Parameters!$C$30:$C$35,MATCH(M18,Parameters!$A$30:$A$35,1))</f>
        <v>0.8</v>
      </c>
      <c r="O18" s="9" t="n">
        <f aca="false">Parameters!$B$5*Parameters!$B$7*N18</f>
        <v>4800</v>
      </c>
      <c r="P18" s="24" t="n">
        <f aca="false">MAX(0,G18-F18)</f>
        <v>0</v>
      </c>
      <c r="Q18" s="9" t="n">
        <f aca="false">P18*Parameters!$B$8</f>
        <v>0</v>
      </c>
      <c r="R18" s="35" t="n">
        <v>4</v>
      </c>
      <c r="S18" s="9" t="n">
        <f aca="false">MIN(R18,G18)*Parameters!$B$9</f>
        <v>1200</v>
      </c>
      <c r="T18" s="35" t="n">
        <v>2</v>
      </c>
      <c r="U18" s="9" t="n">
        <f aca="false">MIN(T18,Parameters!$B$11)*Parameters!$B$10</f>
        <v>1000</v>
      </c>
      <c r="V18" s="25" t="str">
        <f aca="false">IF(H18&gt;=1,1+COUNTIFS($H$5:$H$18,"&gt;"&amp;H18,$H$5:$H$18,"&gt;=1"),"")</f>
        <v/>
      </c>
      <c r="W18" s="9" t="n">
        <f aca="false">IF(AND(ISNUMBER(V18),V18&lt;=3),INDEX(Parameters!$B$45:$B$47,V18),0)</f>
        <v>0</v>
      </c>
      <c r="X18" s="9" t="n">
        <f aca="false">J18+O18+Q18+S18+U18</f>
        <v>12400</v>
      </c>
      <c r="Y18" s="9" t="n">
        <f aca="false">Parameters!$B$13*Parameters!$B$5</f>
        <v>30000</v>
      </c>
      <c r="Z18" s="37" t="n">
        <v>0.78</v>
      </c>
      <c r="AA18" s="36" t="n">
        <f aca="false">INDEX(Parameters!$C$39:$C$41,MATCH(Z18,Parameters!$A$39:$A$41,1))</f>
        <v>0</v>
      </c>
      <c r="AB18" s="38" t="n">
        <f aca="false">IF(H18&lt;Parameters!$B$51,0,(MIN(X18,Y18)+W18)*AA18)</f>
        <v>0</v>
      </c>
    </row>
    <row r="19" customFormat="false" ht="15" hidden="false" customHeight="false" outlineLevel="0" collapsed="false">
      <c r="A19" s="13"/>
      <c r="B19" s="10" t="s">
        <v>198</v>
      </c>
      <c r="C19" s="13"/>
      <c r="D19" s="13"/>
      <c r="E19" s="13"/>
      <c r="F19" s="27" t="n">
        <f aca="false">SUM(F5:F18)</f>
        <v>280</v>
      </c>
      <c r="G19" s="27" t="n">
        <f aca="false">SUM(G5:G18)</f>
        <v>261</v>
      </c>
      <c r="H19" s="28" t="n">
        <f aca="false">IFERROR(G19/F19,0)</f>
        <v>0.932142857142857</v>
      </c>
      <c r="I19" s="13"/>
      <c r="J19" s="12" t="n">
        <f aca="false">SUM(J5:J18)</f>
        <v>106650</v>
      </c>
      <c r="K19" s="27" t="n">
        <f aca="false">SUM(K5:K18)</f>
        <v>10400</v>
      </c>
      <c r="L19" s="27" t="n">
        <f aca="false">SUM(L5:L18)</f>
        <v>10600</v>
      </c>
      <c r="M19" s="28" t="n">
        <f aca="false">IFERROR(L19/K19,0)</f>
        <v>1.01923076923077</v>
      </c>
      <c r="N19" s="13"/>
      <c r="O19" s="12" t="n">
        <f aca="false">SUM(O5:O18)</f>
        <v>75600</v>
      </c>
      <c r="P19" s="27" t="n">
        <f aca="false">SUM(P5:P18)</f>
        <v>13</v>
      </c>
      <c r="Q19" s="12" t="n">
        <f aca="false">SUM(Q5:Q18)</f>
        <v>13000</v>
      </c>
      <c r="R19" s="27" t="n">
        <f aca="false">SUM(R5:R18)</f>
        <v>101</v>
      </c>
      <c r="S19" s="12" t="n">
        <f aca="false">SUM(S5:S18)</f>
        <v>30300</v>
      </c>
      <c r="T19" s="27" t="n">
        <f aca="false">SUM(T5:T18)</f>
        <v>47</v>
      </c>
      <c r="U19" s="12" t="n">
        <f aca="false">SUM(U5:U18)</f>
        <v>23500</v>
      </c>
      <c r="V19" s="13"/>
      <c r="W19" s="12" t="n">
        <f aca="false">SUM(W5:W18)</f>
        <v>22000</v>
      </c>
      <c r="X19" s="12" t="n">
        <f aca="false">SUM(X5:X18)</f>
        <v>249050</v>
      </c>
      <c r="Y19" s="12" t="n">
        <f aca="false">SUM(Y5:Y18)</f>
        <v>420000</v>
      </c>
      <c r="Z19" s="28" t="n">
        <f aca="false">IFERROR(SUMPRODUCT(L5:L18,Z5:Z18)/L19,0)</f>
        <v>0.913650943396226</v>
      </c>
      <c r="AA19" s="13"/>
      <c r="AB19" s="12" t="n">
        <f aca="false">SUM(AB5:AB18)</f>
        <v>249125</v>
      </c>
    </row>
    <row r="21" customFormat="false" ht="15" hidden="false" customHeight="false" outlineLevel="0" collapsed="false">
      <c r="B21" s="14" t="s">
        <v>199</v>
      </c>
      <c r="G21" s="14" t="str">
        <f aca="false">COUNTIF(H5:H18,"&gt;=1")&amp;" of "&amp;COUNTA(C5:C18)</f>
        <v>7 of 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Y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2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2" t="s">
        <v>201</v>
      </c>
    </row>
    <row r="4" customFormat="false" ht="43.5" hidden="false" customHeight="true" outlineLevel="0" collapsed="false">
      <c r="A4" s="5" t="s">
        <v>137</v>
      </c>
      <c r="B4" s="5" t="s">
        <v>202</v>
      </c>
      <c r="C4" s="5" t="s">
        <v>203</v>
      </c>
      <c r="D4" s="5" t="s">
        <v>139</v>
      </c>
      <c r="E4" s="5" t="s">
        <v>66</v>
      </c>
      <c r="F4" s="5" t="s">
        <v>141</v>
      </c>
      <c r="G4" s="5" t="s">
        <v>142</v>
      </c>
      <c r="H4" s="5" t="s">
        <v>143</v>
      </c>
      <c r="I4" s="5" t="s">
        <v>144</v>
      </c>
      <c r="J4" s="5" t="s">
        <v>145</v>
      </c>
      <c r="K4" s="5" t="s">
        <v>146</v>
      </c>
      <c r="L4" s="5" t="s">
        <v>147</v>
      </c>
      <c r="M4" s="5" t="s">
        <v>148</v>
      </c>
      <c r="N4" s="5" t="s">
        <v>149</v>
      </c>
      <c r="O4" s="5" t="s">
        <v>150</v>
      </c>
      <c r="P4" s="5" t="s">
        <v>151</v>
      </c>
      <c r="Q4" s="5" t="s">
        <v>152</v>
      </c>
      <c r="R4" s="5" t="s">
        <v>204</v>
      </c>
      <c r="S4" s="5" t="s">
        <v>205</v>
      </c>
      <c r="T4" s="5" t="s">
        <v>206</v>
      </c>
      <c r="U4" s="5" t="s">
        <v>157</v>
      </c>
      <c r="V4" s="5" t="s">
        <v>158</v>
      </c>
      <c r="W4" s="5" t="s">
        <v>159</v>
      </c>
      <c r="X4" s="5" t="s">
        <v>160</v>
      </c>
      <c r="Y4" s="5" t="s">
        <v>161</v>
      </c>
    </row>
    <row r="5" customFormat="false" ht="15" hidden="false" customHeight="false" outlineLevel="0" collapsed="false">
      <c r="A5" s="25" t="n">
        <v>1</v>
      </c>
      <c r="B5" s="34" t="s">
        <v>164</v>
      </c>
      <c r="C5" s="7" t="n">
        <f aca="false">COUNTIF('TSO Incentive'!$D$5:$D$18,B5)</f>
        <v>3</v>
      </c>
      <c r="D5" s="15" t="n">
        <f aca="false">SUMIFS('TSO Incentive'!$F$5:$F$18,'TSO Incentive'!$D$5:$D$18,$B5)</f>
        <v>60</v>
      </c>
      <c r="E5" s="15" t="n">
        <f aca="false">SUMIFS('TSO Incentive'!$G$5:$G$18,'TSO Incentive'!$D$5:$D$18,$B5)</f>
        <v>56</v>
      </c>
      <c r="F5" s="20" t="n">
        <f aca="false">IFERROR(E5/D5,0)</f>
        <v>0.933333333333333</v>
      </c>
      <c r="G5" s="36" t="n">
        <f aca="false">INDEX(Parameters!$C$20:$C$26,MATCH(F5,Parameters!$A$20:$A$26,1))</f>
        <v>0.9</v>
      </c>
      <c r="H5" s="9" t="n">
        <f aca="false">Parameters!$C$5*Parameters!$C$6*G5</f>
        <v>10800</v>
      </c>
      <c r="I5" s="15" t="n">
        <f aca="false">SUMIFS('TSO Incentive'!$K$5:$K$18,'TSO Incentive'!$D$5:$D$18,$B5)</f>
        <v>2300</v>
      </c>
      <c r="J5" s="15" t="n">
        <f aca="false">SUMIFS('TSO Incentive'!$L$5:$L$18,'TSO Incentive'!$D$5:$D$18,$B5)</f>
        <v>2310</v>
      </c>
      <c r="K5" s="20" t="n">
        <f aca="false">IFERROR(J5/I5,0)</f>
        <v>1.00434782608696</v>
      </c>
      <c r="L5" s="36" t="n">
        <f aca="false">INDEX(Parameters!$C$30:$C$35,MATCH(K5,Parameters!$A$30:$A$35,1))</f>
        <v>1</v>
      </c>
      <c r="M5" s="9" t="n">
        <f aca="false">Parameters!$C$5*Parameters!$C$7*L5</f>
        <v>8000</v>
      </c>
      <c r="N5" s="24" t="n">
        <f aca="false">MAX(0,E5-D5)</f>
        <v>0</v>
      </c>
      <c r="O5" s="9" t="n">
        <f aca="false">N5*Parameters!$C$8</f>
        <v>0</v>
      </c>
      <c r="P5" s="15" t="n">
        <f aca="false">SUMIFS('TSO Incentive'!$R$5:$R$18,'TSO Incentive'!$D$5:$D$18,$B5)</f>
        <v>21</v>
      </c>
      <c r="Q5" s="9" t="n">
        <f aca="false">P5*Parameters!$C$9</f>
        <v>3150</v>
      </c>
      <c r="R5" s="39" t="n">
        <f aca="false">IFERROR(COUNTIFS('TSO Incentive'!$D$5:$D$18,B5,'TSO Incentive'!$H$5:$H$18,"&gt;=1")/C5,0)</f>
        <v>0.333333333333333</v>
      </c>
      <c r="S5" s="25" t="str">
        <f aca="false">IF(R5&gt;=Parameters!$B$48,"Met","Not met")</f>
        <v>Not met</v>
      </c>
      <c r="T5" s="9" t="n">
        <f aca="false">IF(S5="Met",Parameters!$C$12,0)</f>
        <v>0</v>
      </c>
      <c r="U5" s="9" t="n">
        <f aca="false">H5+M5+O5+Q5+T5</f>
        <v>21950</v>
      </c>
      <c r="V5" s="9" t="n">
        <f aca="false">Parameters!$C$13*Parameters!$C$5</f>
        <v>40000</v>
      </c>
      <c r="W5" s="37" t="n">
        <v>0.91</v>
      </c>
      <c r="X5" s="36" t="n">
        <f aca="false">INDEX(Parameters!$C$39:$C$41,MATCH(W5,Parameters!$A$39:$A$41,1))</f>
        <v>1</v>
      </c>
      <c r="Y5" s="38" t="n">
        <f aca="false">IF(F5&lt;Parameters!$B$51,0,MIN(U5,V5)*X5)</f>
        <v>21950</v>
      </c>
    </row>
    <row r="6" customFormat="false" ht="15" hidden="false" customHeight="false" outlineLevel="0" collapsed="false">
      <c r="A6" s="25" t="n">
        <v>2</v>
      </c>
      <c r="B6" s="34" t="s">
        <v>172</v>
      </c>
      <c r="C6" s="7" t="n">
        <f aca="false">COUNTIF('TSO Incentive'!$D$5:$D$18,B6)</f>
        <v>3</v>
      </c>
      <c r="D6" s="15" t="n">
        <f aca="false">SUMIFS('TSO Incentive'!$F$5:$F$18,'TSO Incentive'!$D$5:$D$18,$B6)</f>
        <v>60</v>
      </c>
      <c r="E6" s="15" t="n">
        <f aca="false">SUMIFS('TSO Incentive'!$G$5:$G$18,'TSO Incentive'!$D$5:$D$18,$B6)</f>
        <v>54</v>
      </c>
      <c r="F6" s="20" t="n">
        <f aca="false">IFERROR(E6/D6,0)</f>
        <v>0.9</v>
      </c>
      <c r="G6" s="36" t="n">
        <f aca="false">INDEX(Parameters!$C$20:$C$26,MATCH(F6,Parameters!$A$20:$A$26,1))</f>
        <v>0.9</v>
      </c>
      <c r="H6" s="9" t="n">
        <f aca="false">Parameters!$C$5*Parameters!$C$6*G6</f>
        <v>10800</v>
      </c>
      <c r="I6" s="15" t="n">
        <f aca="false">SUMIFS('TSO Incentive'!$K$5:$K$18,'TSO Incentive'!$D$5:$D$18,$B6)</f>
        <v>2000</v>
      </c>
      <c r="J6" s="15" t="n">
        <f aca="false">SUMIFS('TSO Incentive'!$L$5:$L$18,'TSO Incentive'!$D$5:$D$18,$B6)</f>
        <v>1980</v>
      </c>
      <c r="K6" s="20" t="n">
        <f aca="false">IFERROR(J6/I6,0)</f>
        <v>0.99</v>
      </c>
      <c r="L6" s="36" t="n">
        <f aca="false">INDEX(Parameters!$C$30:$C$35,MATCH(K6,Parameters!$A$30:$A$35,1))</f>
        <v>0.8</v>
      </c>
      <c r="M6" s="9" t="n">
        <f aca="false">Parameters!$C$5*Parameters!$C$7*L6</f>
        <v>6400</v>
      </c>
      <c r="N6" s="24" t="n">
        <f aca="false">MAX(0,E6-D6)</f>
        <v>0</v>
      </c>
      <c r="O6" s="9" t="n">
        <f aca="false">N6*Parameters!$C$8</f>
        <v>0</v>
      </c>
      <c r="P6" s="15" t="n">
        <f aca="false">SUMIFS('TSO Incentive'!$R$5:$R$18,'TSO Incentive'!$D$5:$D$18,$B6)</f>
        <v>21</v>
      </c>
      <c r="Q6" s="9" t="n">
        <f aca="false">P6*Parameters!$C$9</f>
        <v>3150</v>
      </c>
      <c r="R6" s="39" t="n">
        <f aca="false">IFERROR(COUNTIFS('TSO Incentive'!$D$5:$D$18,B6,'TSO Incentive'!$H$5:$H$18,"&gt;=1")/C6,0)</f>
        <v>0.666666666666667</v>
      </c>
      <c r="S6" s="25" t="str">
        <f aca="false">IF(R6&gt;=Parameters!$B$48,"Met","Not met")</f>
        <v>Met</v>
      </c>
      <c r="T6" s="9" t="n">
        <f aca="false">IF(S6="Met",Parameters!$C$12,0)</f>
        <v>5000</v>
      </c>
      <c r="U6" s="9" t="n">
        <f aca="false">H6+M6+O6+Q6+T6</f>
        <v>25350</v>
      </c>
      <c r="V6" s="9" t="n">
        <f aca="false">Parameters!$C$13*Parameters!$C$5</f>
        <v>40000</v>
      </c>
      <c r="W6" s="37" t="n">
        <v>0.91</v>
      </c>
      <c r="X6" s="36" t="n">
        <f aca="false">INDEX(Parameters!$C$39:$C$41,MATCH(W6,Parameters!$A$39:$A$41,1))</f>
        <v>1</v>
      </c>
      <c r="Y6" s="38" t="n">
        <f aca="false">IF(F6&lt;Parameters!$B$51,0,MIN(U6,V6)*X6)</f>
        <v>25350</v>
      </c>
    </row>
    <row r="7" customFormat="false" ht="15" hidden="false" customHeight="false" outlineLevel="0" collapsed="false">
      <c r="A7" s="25" t="n">
        <v>3</v>
      </c>
      <c r="B7" s="34" t="s">
        <v>180</v>
      </c>
      <c r="C7" s="7" t="n">
        <f aca="false">COUNTIF('TSO Incentive'!$D$5:$D$18,B7)</f>
        <v>2</v>
      </c>
      <c r="D7" s="15" t="n">
        <f aca="false">SUMIFS('TSO Incentive'!$F$5:$F$18,'TSO Incentive'!$D$5:$D$18,$B7)</f>
        <v>40</v>
      </c>
      <c r="E7" s="15" t="n">
        <f aca="false">SUMIFS('TSO Incentive'!$G$5:$G$18,'TSO Incentive'!$D$5:$D$18,$B7)</f>
        <v>46</v>
      </c>
      <c r="F7" s="20" t="n">
        <f aca="false">IFERROR(E7/D7,0)</f>
        <v>1.15</v>
      </c>
      <c r="G7" s="36" t="n">
        <f aca="false">INDEX(Parameters!$C$20:$C$26,MATCH(F7,Parameters!$A$20:$A$26,1))</f>
        <v>1</v>
      </c>
      <c r="H7" s="9" t="n">
        <f aca="false">Parameters!$C$5*Parameters!$C$6*G7</f>
        <v>12000</v>
      </c>
      <c r="I7" s="15" t="n">
        <f aca="false">SUMIFS('TSO Incentive'!$K$5:$K$18,'TSO Incentive'!$D$5:$D$18,$B7)</f>
        <v>2100</v>
      </c>
      <c r="J7" s="15" t="n">
        <f aca="false">SUMIFS('TSO Incentive'!$L$5:$L$18,'TSO Incentive'!$D$5:$D$18,$B7)</f>
        <v>2300</v>
      </c>
      <c r="K7" s="20" t="n">
        <f aca="false">IFERROR(J7/I7,0)</f>
        <v>1.0952380952381</v>
      </c>
      <c r="L7" s="36" t="n">
        <f aca="false">INDEX(Parameters!$C$30:$C$35,MATCH(K7,Parameters!$A$30:$A$35,1))</f>
        <v>1</v>
      </c>
      <c r="M7" s="9" t="n">
        <f aca="false">Parameters!$C$5*Parameters!$C$7*L7</f>
        <v>8000</v>
      </c>
      <c r="N7" s="24" t="n">
        <f aca="false">MAX(0,E7-D7)</f>
        <v>6</v>
      </c>
      <c r="O7" s="9" t="n">
        <f aca="false">N7*Parameters!$C$8</f>
        <v>3000</v>
      </c>
      <c r="P7" s="15" t="n">
        <f aca="false">SUMIFS('TSO Incentive'!$R$5:$R$18,'TSO Incentive'!$D$5:$D$18,$B7)</f>
        <v>20</v>
      </c>
      <c r="Q7" s="9" t="n">
        <f aca="false">P7*Parameters!$C$9</f>
        <v>3000</v>
      </c>
      <c r="R7" s="39" t="n">
        <f aca="false">IFERROR(COUNTIFS('TSO Incentive'!$D$5:$D$18,B7,'TSO Incentive'!$H$5:$H$18,"&gt;=1")/C7,0)</f>
        <v>1</v>
      </c>
      <c r="S7" s="25" t="str">
        <f aca="false">IF(R7&gt;=Parameters!$B$48,"Met","Not met")</f>
        <v>Met</v>
      </c>
      <c r="T7" s="9" t="n">
        <f aca="false">IF(S7="Met",Parameters!$C$12,0)</f>
        <v>5000</v>
      </c>
      <c r="U7" s="9" t="n">
        <f aca="false">H7+M7+O7+Q7+T7</f>
        <v>31000</v>
      </c>
      <c r="V7" s="9" t="n">
        <f aca="false">Parameters!$C$13*Parameters!$C$5</f>
        <v>40000</v>
      </c>
      <c r="W7" s="37" t="n">
        <v>0.93</v>
      </c>
      <c r="X7" s="36" t="n">
        <f aca="false">INDEX(Parameters!$C$39:$C$41,MATCH(W7,Parameters!$A$39:$A$41,1))</f>
        <v>1</v>
      </c>
      <c r="Y7" s="38" t="n">
        <f aca="false">IF(F7&lt;Parameters!$B$51,0,MIN(U7,V7)*X7)</f>
        <v>31000</v>
      </c>
    </row>
    <row r="8" customFormat="false" ht="15" hidden="false" customHeight="false" outlineLevel="0" collapsed="false">
      <c r="A8" s="25" t="n">
        <v>4</v>
      </c>
      <c r="B8" s="34" t="s">
        <v>185</v>
      </c>
      <c r="C8" s="7" t="n">
        <f aca="false">COUNTIF('TSO Incentive'!$D$5:$D$18,B8)</f>
        <v>3</v>
      </c>
      <c r="D8" s="15" t="n">
        <f aca="false">SUMIFS('TSO Incentive'!$F$5:$F$18,'TSO Incentive'!$D$5:$D$18,$B8)</f>
        <v>60</v>
      </c>
      <c r="E8" s="15" t="n">
        <f aca="false">SUMIFS('TSO Incentive'!$G$5:$G$18,'TSO Incentive'!$D$5:$D$18,$B8)</f>
        <v>61</v>
      </c>
      <c r="F8" s="20" t="n">
        <f aca="false">IFERROR(E8/D8,0)</f>
        <v>1.01666666666667</v>
      </c>
      <c r="G8" s="36" t="n">
        <f aca="false">INDEX(Parameters!$C$20:$C$26,MATCH(F8,Parameters!$A$20:$A$26,1))</f>
        <v>1</v>
      </c>
      <c r="H8" s="9" t="n">
        <f aca="false">Parameters!$C$5*Parameters!$C$6*G8</f>
        <v>12000</v>
      </c>
      <c r="I8" s="15" t="n">
        <f aca="false">SUMIFS('TSO Incentive'!$K$5:$K$18,'TSO Incentive'!$D$5:$D$18,$B8)</f>
        <v>2400</v>
      </c>
      <c r="J8" s="15" t="n">
        <f aca="false">SUMIFS('TSO Incentive'!$L$5:$L$18,'TSO Incentive'!$D$5:$D$18,$B8)</f>
        <v>2520</v>
      </c>
      <c r="K8" s="20" t="n">
        <f aca="false">IFERROR(J8/I8,0)</f>
        <v>1.05</v>
      </c>
      <c r="L8" s="36" t="n">
        <f aca="false">INDEX(Parameters!$C$30:$C$35,MATCH(K8,Parameters!$A$30:$A$35,1))</f>
        <v>1</v>
      </c>
      <c r="M8" s="9" t="n">
        <f aca="false">Parameters!$C$5*Parameters!$C$7*L8</f>
        <v>8000</v>
      </c>
      <c r="N8" s="24" t="n">
        <f aca="false">MAX(0,E8-D8)</f>
        <v>1</v>
      </c>
      <c r="O8" s="9" t="n">
        <f aca="false">N8*Parameters!$C$8</f>
        <v>500</v>
      </c>
      <c r="P8" s="15" t="n">
        <f aca="false">SUMIFS('TSO Incentive'!$R$5:$R$18,'TSO Incentive'!$D$5:$D$18,$B8)</f>
        <v>25</v>
      </c>
      <c r="Q8" s="9" t="n">
        <f aca="false">P8*Parameters!$C$9</f>
        <v>3750</v>
      </c>
      <c r="R8" s="39" t="n">
        <f aca="false">IFERROR(COUNTIFS('TSO Incentive'!$D$5:$D$18,B8,'TSO Incentive'!$H$5:$H$18,"&gt;=1")/C8,0)</f>
        <v>0.666666666666667</v>
      </c>
      <c r="S8" s="25" t="str">
        <f aca="false">IF(R8&gt;=Parameters!$B$48,"Met","Not met")</f>
        <v>Met</v>
      </c>
      <c r="T8" s="9" t="n">
        <f aca="false">IF(S8="Met",Parameters!$C$12,0)</f>
        <v>5000</v>
      </c>
      <c r="U8" s="9" t="n">
        <f aca="false">H8+M8+O8+Q8+T8</f>
        <v>29250</v>
      </c>
      <c r="V8" s="9" t="n">
        <f aca="false">Parameters!$C$13*Parameters!$C$5</f>
        <v>40000</v>
      </c>
      <c r="W8" s="37" t="n">
        <v>0.92</v>
      </c>
      <c r="X8" s="36" t="n">
        <f aca="false">INDEX(Parameters!$C$39:$C$41,MATCH(W8,Parameters!$A$39:$A$41,1))</f>
        <v>1</v>
      </c>
      <c r="Y8" s="38" t="n">
        <f aca="false">IF(F8&lt;Parameters!$B$51,0,MIN(U8,V8)*X8)</f>
        <v>29250</v>
      </c>
    </row>
    <row r="9" customFormat="false" ht="15" hidden="false" customHeight="false" outlineLevel="0" collapsed="false">
      <c r="A9" s="25" t="n">
        <v>5</v>
      </c>
      <c r="B9" s="34" t="s">
        <v>193</v>
      </c>
      <c r="C9" s="7" t="n">
        <f aca="false">COUNTIF('TSO Incentive'!$D$5:$D$18,B9)</f>
        <v>3</v>
      </c>
      <c r="D9" s="15" t="n">
        <f aca="false">SUMIFS('TSO Incentive'!$F$5:$F$18,'TSO Incentive'!$D$5:$D$18,$B9)</f>
        <v>60</v>
      </c>
      <c r="E9" s="15" t="n">
        <f aca="false">SUMIFS('TSO Incentive'!$G$5:$G$18,'TSO Incentive'!$D$5:$D$18,$B9)</f>
        <v>44</v>
      </c>
      <c r="F9" s="20" t="n">
        <f aca="false">IFERROR(E9/D9,0)</f>
        <v>0.733333333333333</v>
      </c>
      <c r="G9" s="36" t="n">
        <f aca="false">INDEX(Parameters!$C$20:$C$26,MATCH(F9,Parameters!$A$20:$A$26,1))</f>
        <v>0.6</v>
      </c>
      <c r="H9" s="9" t="n">
        <f aca="false">Parameters!$C$5*Parameters!$C$6*G9</f>
        <v>7200</v>
      </c>
      <c r="I9" s="15" t="n">
        <f aca="false">SUMIFS('TSO Incentive'!$K$5:$K$18,'TSO Incentive'!$D$5:$D$18,$B9)</f>
        <v>1600</v>
      </c>
      <c r="J9" s="15" t="n">
        <f aca="false">SUMIFS('TSO Incentive'!$L$5:$L$18,'TSO Incentive'!$D$5:$D$18,$B9)</f>
        <v>1490</v>
      </c>
      <c r="K9" s="20" t="n">
        <f aca="false">IFERROR(J9/I9,0)</f>
        <v>0.93125</v>
      </c>
      <c r="L9" s="36" t="n">
        <f aca="false">INDEX(Parameters!$C$30:$C$35,MATCH(K9,Parameters!$A$30:$A$35,1))</f>
        <v>0.8</v>
      </c>
      <c r="M9" s="9" t="n">
        <f aca="false">Parameters!$C$5*Parameters!$C$7*L9</f>
        <v>6400</v>
      </c>
      <c r="N9" s="24" t="n">
        <f aca="false">MAX(0,E9-D9)</f>
        <v>0</v>
      </c>
      <c r="O9" s="9" t="n">
        <f aca="false">N9*Parameters!$C$8</f>
        <v>0</v>
      </c>
      <c r="P9" s="15" t="n">
        <f aca="false">SUMIFS('TSO Incentive'!$R$5:$R$18,'TSO Incentive'!$D$5:$D$18,$B9)</f>
        <v>14</v>
      </c>
      <c r="Q9" s="9" t="n">
        <f aca="false">P9*Parameters!$C$9</f>
        <v>2100</v>
      </c>
      <c r="R9" s="39" t="n">
        <f aca="false">IFERROR(COUNTIFS('TSO Incentive'!$D$5:$D$18,B9,'TSO Incentive'!$H$5:$H$18,"&gt;=1")/C9,0)</f>
        <v>0</v>
      </c>
      <c r="S9" s="25" t="str">
        <f aca="false">IF(R9&gt;=Parameters!$B$48,"Met","Not met")</f>
        <v>Not met</v>
      </c>
      <c r="T9" s="9" t="n">
        <f aca="false">IF(S9="Met",Parameters!$C$12,0)</f>
        <v>0</v>
      </c>
      <c r="U9" s="9" t="n">
        <f aca="false">H9+M9+O9+Q9+T9</f>
        <v>15700</v>
      </c>
      <c r="V9" s="9" t="n">
        <f aca="false">Parameters!$C$13*Parameters!$C$5</f>
        <v>40000</v>
      </c>
      <c r="W9" s="37" t="n">
        <v>0.87</v>
      </c>
      <c r="X9" s="36" t="n">
        <f aca="false">INDEX(Parameters!$C$39:$C$41,MATCH(W9,Parameters!$A$39:$A$41,1))</f>
        <v>0.75</v>
      </c>
      <c r="Y9" s="38" t="n">
        <f aca="false">IF(F9&lt;Parameters!$B$51,0,MIN(U9,V9)*X9)</f>
        <v>11775</v>
      </c>
    </row>
    <row r="10" customFormat="false" ht="15" hidden="false" customHeight="false" outlineLevel="0" collapsed="false">
      <c r="A10" s="13"/>
      <c r="B10" s="10" t="s">
        <v>46</v>
      </c>
      <c r="C10" s="27" t="n">
        <f aca="false">SUM(C5:C9)</f>
        <v>14</v>
      </c>
      <c r="D10" s="27" t="n">
        <f aca="false">SUM(D5:D9)</f>
        <v>280</v>
      </c>
      <c r="E10" s="27" t="n">
        <f aca="false">SUM(E5:E9)</f>
        <v>261</v>
      </c>
      <c r="F10" s="28" t="n">
        <f aca="false">IFERROR(E10/D10,0)</f>
        <v>0.932142857142857</v>
      </c>
      <c r="G10" s="13"/>
      <c r="H10" s="12" t="n">
        <f aca="false">SUM(H5:H9)</f>
        <v>52800</v>
      </c>
      <c r="I10" s="27" t="n">
        <f aca="false">SUM(I5:I9)</f>
        <v>10400</v>
      </c>
      <c r="J10" s="27" t="n">
        <f aca="false">SUM(J5:J9)</f>
        <v>10600</v>
      </c>
      <c r="K10" s="28" t="n">
        <f aca="false">IFERROR(J10/I10,0)</f>
        <v>1.01923076923077</v>
      </c>
      <c r="L10" s="13"/>
      <c r="M10" s="12" t="n">
        <f aca="false">SUM(M5:M9)</f>
        <v>36800</v>
      </c>
      <c r="N10" s="27" t="n">
        <f aca="false">SUM(N5:N9)</f>
        <v>7</v>
      </c>
      <c r="O10" s="12" t="n">
        <f aca="false">SUM(O5:O9)</f>
        <v>3500</v>
      </c>
      <c r="P10" s="27" t="n">
        <f aca="false">SUM(P5:P9)</f>
        <v>101</v>
      </c>
      <c r="Q10" s="12" t="n">
        <f aca="false">SUM(Q5:Q9)</f>
        <v>15150</v>
      </c>
      <c r="R10" s="13"/>
      <c r="S10" s="13"/>
      <c r="T10" s="12" t="n">
        <f aca="false">SUM(T5:T9)</f>
        <v>15000</v>
      </c>
      <c r="U10" s="12" t="n">
        <f aca="false">SUM(U5:U9)</f>
        <v>123250</v>
      </c>
      <c r="V10" s="12" t="n">
        <f aca="false">SUM(V5:V9)</f>
        <v>200000</v>
      </c>
      <c r="W10" s="28" t="n">
        <f aca="false">IFERROR(SUMPRODUCT(J5:J9,W5:W9)/J10,0)</f>
        <v>0.911094339622642</v>
      </c>
      <c r="X10" s="13"/>
      <c r="Y10" s="12" t="n">
        <f aca="false">SUM(Y5:Y9)</f>
        <v>119325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2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2" t="s">
        <v>201</v>
      </c>
    </row>
    <row r="4" customFormat="false" ht="43.5" hidden="false" customHeight="true" outlineLevel="0" collapsed="false">
      <c r="A4" s="5" t="s">
        <v>137</v>
      </c>
      <c r="B4" s="5" t="s">
        <v>202</v>
      </c>
      <c r="C4" s="5" t="s">
        <v>203</v>
      </c>
      <c r="D4" s="5" t="s">
        <v>139</v>
      </c>
      <c r="E4" s="5" t="s">
        <v>66</v>
      </c>
      <c r="F4" s="5" t="s">
        <v>141</v>
      </c>
      <c r="G4" s="5" t="s">
        <v>142</v>
      </c>
      <c r="H4" s="5" t="s">
        <v>143</v>
      </c>
      <c r="I4" s="5" t="s">
        <v>144</v>
      </c>
      <c r="J4" s="5" t="s">
        <v>145</v>
      </c>
      <c r="K4" s="5" t="s">
        <v>146</v>
      </c>
      <c r="L4" s="5" t="s">
        <v>147</v>
      </c>
      <c r="M4" s="5" t="s">
        <v>148</v>
      </c>
      <c r="N4" s="5" t="s">
        <v>149</v>
      </c>
      <c r="O4" s="5" t="s">
        <v>150</v>
      </c>
      <c r="P4" s="5" t="s">
        <v>151</v>
      </c>
      <c r="Q4" s="5" t="s">
        <v>152</v>
      </c>
      <c r="R4" s="5" t="s">
        <v>208</v>
      </c>
      <c r="S4" s="5" t="s">
        <v>205</v>
      </c>
      <c r="T4" s="5" t="s">
        <v>206</v>
      </c>
      <c r="U4" s="5" t="s">
        <v>157</v>
      </c>
      <c r="V4" s="5" t="s">
        <v>158</v>
      </c>
      <c r="W4" s="5" t="s">
        <v>159</v>
      </c>
      <c r="X4" s="5" t="s">
        <v>160</v>
      </c>
      <c r="Y4" s="5" t="s">
        <v>161</v>
      </c>
    </row>
    <row r="5" customFormat="false" ht="15" hidden="false" customHeight="false" outlineLevel="0" collapsed="false">
      <c r="A5" s="25" t="n">
        <v>1</v>
      </c>
      <c r="B5" s="34" t="s">
        <v>165</v>
      </c>
      <c r="C5" s="7" t="n">
        <f aca="false">COUNTIF('TSO Incentive'!$E$5:$E$18,B5)</f>
        <v>4</v>
      </c>
      <c r="D5" s="15" t="n">
        <f aca="false">SUMIFS('TSO Incentive'!$F$5:$F$18,'TSO Incentive'!$E$5:$E$18,$B5)</f>
        <v>80</v>
      </c>
      <c r="E5" s="15" t="n">
        <f aca="false">SUMIFS('TSO Incentive'!$G$5:$G$18,'TSO Incentive'!$E$5:$E$18,$B5)</f>
        <v>76</v>
      </c>
      <c r="F5" s="20" t="n">
        <f aca="false">IFERROR(E5/D5,0)</f>
        <v>0.95</v>
      </c>
      <c r="G5" s="36" t="n">
        <f aca="false">INDEX(Parameters!$C$20:$C$26,MATCH(F5,Parameters!$A$20:$A$26,1))</f>
        <v>0.9</v>
      </c>
      <c r="H5" s="9" t="n">
        <f aca="false">Parameters!$D$5*Parameters!$D$6*G5</f>
        <v>16200</v>
      </c>
      <c r="I5" s="15" t="n">
        <f aca="false">SUMIFS('TSO Incentive'!$K$5:$K$18,'TSO Incentive'!$E$5:$E$18,$B5)</f>
        <v>3000</v>
      </c>
      <c r="J5" s="15" t="n">
        <f aca="false">SUMIFS('TSO Incentive'!$L$5:$L$18,'TSO Incentive'!$E$5:$E$18,$B5)</f>
        <v>3030</v>
      </c>
      <c r="K5" s="20" t="n">
        <f aca="false">IFERROR(J5/I5,0)</f>
        <v>1.01</v>
      </c>
      <c r="L5" s="36" t="n">
        <f aca="false">INDEX(Parameters!$C$30:$C$35,MATCH(K5,Parameters!$A$30:$A$35,1))</f>
        <v>1</v>
      </c>
      <c r="M5" s="9" t="n">
        <f aca="false">Parameters!$D$5*Parameters!$D$7*L5</f>
        <v>12000</v>
      </c>
      <c r="N5" s="24" t="n">
        <f aca="false">MAX(0,E5-D5)</f>
        <v>0</v>
      </c>
      <c r="O5" s="9" t="n">
        <f aca="false">N5*Parameters!$D$8</f>
        <v>0</v>
      </c>
      <c r="P5" s="15" t="n">
        <f aca="false">SUMIFS('TSO Incentive'!$R$5:$R$18,'TSO Incentive'!$E$5:$E$18,$B5)</f>
        <v>29</v>
      </c>
      <c r="Q5" s="9" t="n">
        <f aca="false">P5*Parameters!$D$9</f>
        <v>0</v>
      </c>
      <c r="R5" s="40" t="n">
        <f aca="false">COUNTIFS('TSO Incentive'!$E$5:$E$18,B5,'TSO Incentive'!$G$5:$G$18,"&lt;"&amp;Parameters!$B$49)</f>
        <v>0</v>
      </c>
      <c r="S5" s="25" t="str">
        <f aca="false">IF(R5=0,"Met","Not met")</f>
        <v>Met</v>
      </c>
      <c r="T5" s="9" t="n">
        <f aca="false">IF(S5="Met",Parameters!$D$12,0)</f>
        <v>10000</v>
      </c>
      <c r="U5" s="9" t="n">
        <f aca="false">H5+M5+O5+Q5+T5</f>
        <v>38200</v>
      </c>
      <c r="V5" s="9" t="n">
        <f aca="false">Parameters!$D$13*Parameters!$D$5</f>
        <v>60000</v>
      </c>
      <c r="W5" s="37" t="n">
        <v>0.92</v>
      </c>
      <c r="X5" s="36" t="n">
        <f aca="false">INDEX(Parameters!$C$39:$C$41,MATCH(W5,Parameters!$A$39:$A$41,1))</f>
        <v>1</v>
      </c>
      <c r="Y5" s="38" t="n">
        <f aca="false">IF(F5&lt;Parameters!$B$51,0,MIN(U5,V5)*X5)</f>
        <v>38200</v>
      </c>
    </row>
    <row r="6" customFormat="false" ht="15" hidden="false" customHeight="false" outlineLevel="0" collapsed="false">
      <c r="A6" s="25" t="n">
        <v>2</v>
      </c>
      <c r="B6" s="34" t="s">
        <v>175</v>
      </c>
      <c r="C6" s="7" t="n">
        <f aca="false">COUNTIF('TSO Incentive'!$E$5:$E$18,B6)</f>
        <v>4</v>
      </c>
      <c r="D6" s="15" t="n">
        <f aca="false">SUMIFS('TSO Incentive'!$F$5:$F$18,'TSO Incentive'!$E$5:$E$18,$B6)</f>
        <v>80</v>
      </c>
      <c r="E6" s="15" t="n">
        <f aca="false">SUMIFS('TSO Incentive'!$G$5:$G$18,'TSO Incentive'!$E$5:$E$18,$B6)</f>
        <v>80</v>
      </c>
      <c r="F6" s="20" t="n">
        <f aca="false">IFERROR(E6/D6,0)</f>
        <v>1</v>
      </c>
      <c r="G6" s="36" t="n">
        <f aca="false">INDEX(Parameters!$C$20:$C$26,MATCH(F6,Parameters!$A$20:$A$26,1))</f>
        <v>1</v>
      </c>
      <c r="H6" s="9" t="n">
        <f aca="false">Parameters!$D$5*Parameters!$D$6*G6</f>
        <v>18000</v>
      </c>
      <c r="I6" s="15" t="n">
        <f aca="false">SUMIFS('TSO Incentive'!$K$5:$K$18,'TSO Incentive'!$E$5:$E$18,$B6)</f>
        <v>3400</v>
      </c>
      <c r="J6" s="15" t="n">
        <f aca="false">SUMIFS('TSO Incentive'!$L$5:$L$18,'TSO Incentive'!$E$5:$E$18,$B6)</f>
        <v>3560</v>
      </c>
      <c r="K6" s="20" t="n">
        <f aca="false">IFERROR(J6/I6,0)</f>
        <v>1.04705882352941</v>
      </c>
      <c r="L6" s="36" t="n">
        <f aca="false">INDEX(Parameters!$C$30:$C$35,MATCH(K6,Parameters!$A$30:$A$35,1))</f>
        <v>1</v>
      </c>
      <c r="M6" s="9" t="n">
        <f aca="false">Parameters!$D$5*Parameters!$D$7*L6</f>
        <v>12000</v>
      </c>
      <c r="N6" s="24" t="n">
        <f aca="false">MAX(0,E6-D6)</f>
        <v>0</v>
      </c>
      <c r="O6" s="9" t="n">
        <f aca="false">N6*Parameters!$D$8</f>
        <v>0</v>
      </c>
      <c r="P6" s="15" t="n">
        <f aca="false">SUMIFS('TSO Incentive'!$R$5:$R$18,'TSO Incentive'!$E$5:$E$18,$B6)</f>
        <v>33</v>
      </c>
      <c r="Q6" s="9" t="n">
        <f aca="false">P6*Parameters!$D$9</f>
        <v>0</v>
      </c>
      <c r="R6" s="40" t="n">
        <f aca="false">COUNTIFS('TSO Incentive'!$E$5:$E$18,B6,'TSO Incentive'!$G$5:$G$18,"&lt;"&amp;Parameters!$B$49)</f>
        <v>1</v>
      </c>
      <c r="S6" s="25" t="str">
        <f aca="false">IF(R6=0,"Met","Not met")</f>
        <v>Not met</v>
      </c>
      <c r="T6" s="9" t="n">
        <f aca="false">IF(S6="Met",Parameters!$D$12,0)</f>
        <v>0</v>
      </c>
      <c r="U6" s="9" t="n">
        <f aca="false">H6+M6+O6+Q6+T6</f>
        <v>30000</v>
      </c>
      <c r="V6" s="9" t="n">
        <f aca="false">Parameters!$D$13*Parameters!$D$5</f>
        <v>60000</v>
      </c>
      <c r="W6" s="37" t="n">
        <v>0.92</v>
      </c>
      <c r="X6" s="36" t="n">
        <f aca="false">INDEX(Parameters!$C$39:$C$41,MATCH(W6,Parameters!$A$39:$A$41,1))</f>
        <v>1</v>
      </c>
      <c r="Y6" s="38" t="n">
        <f aca="false">IF(F6&lt;Parameters!$B$51,0,MIN(U6,V6)*X6)</f>
        <v>30000</v>
      </c>
    </row>
    <row r="7" customFormat="false" ht="15" hidden="false" customHeight="false" outlineLevel="0" collapsed="false">
      <c r="A7" s="25" t="n">
        <v>3</v>
      </c>
      <c r="B7" s="34" t="s">
        <v>186</v>
      </c>
      <c r="C7" s="7" t="n">
        <f aca="false">COUNTIF('TSO Incentive'!$E$5:$E$18,B7)</f>
        <v>6</v>
      </c>
      <c r="D7" s="15" t="n">
        <f aca="false">SUMIFS('TSO Incentive'!$F$5:$F$18,'TSO Incentive'!$E$5:$E$18,$B7)</f>
        <v>120</v>
      </c>
      <c r="E7" s="15" t="n">
        <f aca="false">SUMIFS('TSO Incentive'!$G$5:$G$18,'TSO Incentive'!$E$5:$E$18,$B7)</f>
        <v>105</v>
      </c>
      <c r="F7" s="20" t="n">
        <f aca="false">IFERROR(E7/D7,0)</f>
        <v>0.875</v>
      </c>
      <c r="G7" s="36" t="n">
        <f aca="false">INDEX(Parameters!$C$20:$C$26,MATCH(F7,Parameters!$A$20:$A$26,1))</f>
        <v>0.8</v>
      </c>
      <c r="H7" s="9" t="n">
        <f aca="false">Parameters!$D$5*Parameters!$D$6*G7</f>
        <v>14400</v>
      </c>
      <c r="I7" s="15" t="n">
        <f aca="false">SUMIFS('TSO Incentive'!$K$5:$K$18,'TSO Incentive'!$E$5:$E$18,$B7)</f>
        <v>4000</v>
      </c>
      <c r="J7" s="15" t="n">
        <f aca="false">SUMIFS('TSO Incentive'!$L$5:$L$18,'TSO Incentive'!$E$5:$E$18,$B7)</f>
        <v>4010</v>
      </c>
      <c r="K7" s="20" t="n">
        <f aca="false">IFERROR(J7/I7,0)</f>
        <v>1.0025</v>
      </c>
      <c r="L7" s="36" t="n">
        <f aca="false">INDEX(Parameters!$C$30:$C$35,MATCH(K7,Parameters!$A$30:$A$35,1))</f>
        <v>1</v>
      </c>
      <c r="M7" s="9" t="n">
        <f aca="false">Parameters!$D$5*Parameters!$D$7*L7</f>
        <v>12000</v>
      </c>
      <c r="N7" s="24" t="n">
        <f aca="false">MAX(0,E7-D7)</f>
        <v>0</v>
      </c>
      <c r="O7" s="9" t="n">
        <f aca="false">N7*Parameters!$D$8</f>
        <v>0</v>
      </c>
      <c r="P7" s="15" t="n">
        <f aca="false">SUMIFS('TSO Incentive'!$R$5:$R$18,'TSO Incentive'!$E$5:$E$18,$B7)</f>
        <v>39</v>
      </c>
      <c r="Q7" s="9" t="n">
        <f aca="false">P7*Parameters!$D$9</f>
        <v>0</v>
      </c>
      <c r="R7" s="40" t="n">
        <f aca="false">COUNTIFS('TSO Incentive'!$E$5:$E$18,B7,'TSO Incentive'!$G$5:$G$18,"&lt;"&amp;Parameters!$B$49)</f>
        <v>2</v>
      </c>
      <c r="S7" s="25" t="str">
        <f aca="false">IF(R7=0,"Met","Not met")</f>
        <v>Not met</v>
      </c>
      <c r="T7" s="9" t="n">
        <f aca="false">IF(S7="Met",Parameters!$D$12,0)</f>
        <v>0</v>
      </c>
      <c r="U7" s="9" t="n">
        <f aca="false">H7+M7+O7+Q7+T7</f>
        <v>26400</v>
      </c>
      <c r="V7" s="9" t="n">
        <f aca="false">Parameters!$D$13*Parameters!$D$5</f>
        <v>60000</v>
      </c>
      <c r="W7" s="37" t="n">
        <v>0.9</v>
      </c>
      <c r="X7" s="36" t="n">
        <f aca="false">INDEX(Parameters!$C$39:$C$41,MATCH(W7,Parameters!$A$39:$A$41,1))</f>
        <v>1</v>
      </c>
      <c r="Y7" s="38" t="n">
        <f aca="false">IF(F7&lt;Parameters!$B$51,0,MIN(U7,V7)*X7)</f>
        <v>26400</v>
      </c>
    </row>
    <row r="8" customFormat="false" ht="15" hidden="false" customHeight="false" outlineLevel="0" collapsed="false">
      <c r="A8" s="13"/>
      <c r="B8" s="10" t="s">
        <v>46</v>
      </c>
      <c r="C8" s="27" t="n">
        <f aca="false">SUM(C5:C7)</f>
        <v>14</v>
      </c>
      <c r="D8" s="27" t="n">
        <f aca="false">SUM(D5:D7)</f>
        <v>280</v>
      </c>
      <c r="E8" s="27" t="n">
        <f aca="false">SUM(E5:E7)</f>
        <v>261</v>
      </c>
      <c r="F8" s="28" t="n">
        <f aca="false">IFERROR(E8/D8,0)</f>
        <v>0.932142857142857</v>
      </c>
      <c r="G8" s="13"/>
      <c r="H8" s="12" t="n">
        <f aca="false">SUM(H5:H7)</f>
        <v>48600</v>
      </c>
      <c r="I8" s="27" t="n">
        <f aca="false">SUM(I5:I7)</f>
        <v>10400</v>
      </c>
      <c r="J8" s="27" t="n">
        <f aca="false">SUM(J5:J7)</f>
        <v>10600</v>
      </c>
      <c r="K8" s="28" t="n">
        <f aca="false">IFERROR(J8/I8,0)</f>
        <v>1.01923076923077</v>
      </c>
      <c r="L8" s="13"/>
      <c r="M8" s="12" t="n">
        <f aca="false">SUM(M5:M7)</f>
        <v>36000</v>
      </c>
      <c r="N8" s="27" t="n">
        <f aca="false">SUM(N5:N7)</f>
        <v>0</v>
      </c>
      <c r="O8" s="12" t="n">
        <f aca="false">SUM(O5:O7)</f>
        <v>0</v>
      </c>
      <c r="P8" s="27" t="n">
        <f aca="false">SUM(P5:P7)</f>
        <v>101</v>
      </c>
      <c r="Q8" s="12" t="n">
        <f aca="false">SUM(Q5:Q7)</f>
        <v>0</v>
      </c>
      <c r="R8" s="13"/>
      <c r="S8" s="13"/>
      <c r="T8" s="12" t="n">
        <f aca="false">SUM(T5:T7)</f>
        <v>10000</v>
      </c>
      <c r="U8" s="12" t="n">
        <f aca="false">SUM(U5:U7)</f>
        <v>94600</v>
      </c>
      <c r="V8" s="12" t="n">
        <f aca="false">SUM(V5:V7)</f>
        <v>180000</v>
      </c>
      <c r="W8" s="28" t="n">
        <f aca="false">IFERROR(SUMPRODUCT(J5:J7,W5:W7)/J8,0)</f>
        <v>0.912433962264151</v>
      </c>
      <c r="X8" s="13"/>
      <c r="Y8" s="12" t="n">
        <f aca="false">SUM(Y5:Y7)</f>
        <v>94600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209</v>
      </c>
    </row>
    <row r="3" customFormat="false" ht="21.75" hidden="false" customHeight="true" outlineLevel="0" collapsed="false">
      <c r="A3" s="5" t="s">
        <v>210</v>
      </c>
      <c r="B3" s="5" t="s">
        <v>211</v>
      </c>
      <c r="C3" s="5" t="s">
        <v>77</v>
      </c>
    </row>
    <row r="4" customFormat="false" ht="15" hidden="false" customHeight="false" outlineLevel="0" collapsed="false">
      <c r="A4" s="6" t="s">
        <v>212</v>
      </c>
      <c r="B4" s="34" t="s">
        <v>213</v>
      </c>
      <c r="C4" s="32" t="s">
        <v>214</v>
      </c>
    </row>
    <row r="5" customFormat="false" ht="15" hidden="false" customHeight="false" outlineLevel="0" collapsed="false">
      <c r="A5" s="6" t="s">
        <v>215</v>
      </c>
      <c r="B5" s="15" t="n">
        <f aca="false">SUM('TSO Incentive'!$F$5:$F$18)</f>
        <v>280</v>
      </c>
      <c r="C5" s="32" t="s">
        <v>216</v>
      </c>
    </row>
    <row r="6" customFormat="false" ht="15" hidden="false" customHeight="false" outlineLevel="0" collapsed="false">
      <c r="A6" s="6" t="s">
        <v>217</v>
      </c>
      <c r="B6" s="15" t="n">
        <f aca="false">SUM('TSO Incentive'!$G$5:$G$18)</f>
        <v>261</v>
      </c>
      <c r="C6" s="32" t="s">
        <v>218</v>
      </c>
    </row>
    <row r="7" customFormat="false" ht="15" hidden="false" customHeight="false" outlineLevel="0" collapsed="false">
      <c r="A7" s="6" t="s">
        <v>219</v>
      </c>
      <c r="B7" s="20" t="n">
        <f aca="false">IFERROR(B6/B5,0)</f>
        <v>0.932142857142857</v>
      </c>
      <c r="C7" s="32"/>
    </row>
    <row r="8" customFormat="false" ht="15" hidden="false" customHeight="false" outlineLevel="0" collapsed="false">
      <c r="A8" s="6" t="s">
        <v>142</v>
      </c>
      <c r="B8" s="36" t="n">
        <f aca="false">INDEX(Parameters!$C$20:$C$26,MATCH(B7,Parameters!$A$20:$A$26,1))</f>
        <v>0.9</v>
      </c>
      <c r="C8" s="32" t="s">
        <v>220</v>
      </c>
    </row>
    <row r="9" customFormat="false" ht="15" hidden="false" customHeight="false" outlineLevel="0" collapsed="false">
      <c r="A9" s="6" t="s">
        <v>143</v>
      </c>
      <c r="B9" s="9" t="n">
        <f aca="false">Parameters!$E$5*Parameters!$E$6*B8</f>
        <v>27000</v>
      </c>
      <c r="C9" s="32" t="s">
        <v>221</v>
      </c>
    </row>
    <row r="10" customFormat="false" ht="15" hidden="false" customHeight="false" outlineLevel="0" collapsed="false">
      <c r="A10" s="6" t="s">
        <v>222</v>
      </c>
      <c r="B10" s="15" t="n">
        <f aca="false">SUM('TSO Incentive'!$K$5:$K$18)</f>
        <v>10400</v>
      </c>
      <c r="C10" s="32" t="s">
        <v>218</v>
      </c>
    </row>
    <row r="11" customFormat="false" ht="15" hidden="false" customHeight="false" outlineLevel="0" collapsed="false">
      <c r="A11" s="6" t="s">
        <v>223</v>
      </c>
      <c r="B11" s="15" t="n">
        <f aca="false">SUM('TSO Incentive'!$L$5:$L$18)</f>
        <v>10600</v>
      </c>
      <c r="C11" s="32" t="s">
        <v>218</v>
      </c>
    </row>
    <row r="12" customFormat="false" ht="15" hidden="false" customHeight="false" outlineLevel="0" collapsed="false">
      <c r="A12" s="6" t="s">
        <v>224</v>
      </c>
      <c r="B12" s="20" t="n">
        <f aca="false">IFERROR(B11/B10,0)</f>
        <v>1.01923076923077</v>
      </c>
      <c r="C12" s="32"/>
    </row>
    <row r="13" customFormat="false" ht="15" hidden="false" customHeight="false" outlineLevel="0" collapsed="false">
      <c r="A13" s="6" t="s">
        <v>147</v>
      </c>
      <c r="B13" s="36" t="n">
        <f aca="false">INDEX(Parameters!$C$30:$C$35,MATCH(B12,Parameters!$A$30:$A$35,1))</f>
        <v>1</v>
      </c>
      <c r="C13" s="32" t="s">
        <v>225</v>
      </c>
    </row>
    <row r="14" customFormat="false" ht="15" hidden="false" customHeight="false" outlineLevel="0" collapsed="false">
      <c r="A14" s="6" t="s">
        <v>148</v>
      </c>
      <c r="B14" s="9" t="n">
        <f aca="false">Parameters!$E$5*Parameters!$E$7*B13</f>
        <v>20000</v>
      </c>
      <c r="C14" s="32" t="s">
        <v>226</v>
      </c>
    </row>
    <row r="15" customFormat="false" ht="15" hidden="false" customHeight="false" outlineLevel="0" collapsed="false">
      <c r="A15" s="6" t="s">
        <v>227</v>
      </c>
      <c r="B15" s="24" t="n">
        <f aca="false">MAX(0,B6-B5)</f>
        <v>0</v>
      </c>
      <c r="C15" s="32"/>
    </row>
    <row r="16" customFormat="false" ht="15" hidden="false" customHeight="false" outlineLevel="0" collapsed="false">
      <c r="A16" s="6" t="s">
        <v>150</v>
      </c>
      <c r="B16" s="9" t="n">
        <f aca="false">B15*Parameters!$E$8</f>
        <v>0</v>
      </c>
      <c r="C16" s="32"/>
    </row>
    <row r="17" customFormat="false" ht="15" hidden="false" customHeight="false" outlineLevel="0" collapsed="false">
      <c r="A17" s="6" t="s">
        <v>228</v>
      </c>
      <c r="B17" s="37" t="n">
        <v>0.92</v>
      </c>
      <c r="C17" s="32" t="s">
        <v>229</v>
      </c>
    </row>
    <row r="18" customFormat="false" ht="15" hidden="false" customHeight="false" outlineLevel="0" collapsed="false">
      <c r="A18" s="6" t="s">
        <v>230</v>
      </c>
      <c r="B18" s="32" t="str">
        <f aca="false">IF(AND(B7&gt;=1,B17&gt;=Parameters!$B$50),"Met","Not met")</f>
        <v>Not met</v>
      </c>
      <c r="C18" s="32" t="s">
        <v>231</v>
      </c>
    </row>
    <row r="19" customFormat="false" ht="15" hidden="false" customHeight="false" outlineLevel="0" collapsed="false">
      <c r="A19" s="6" t="s">
        <v>232</v>
      </c>
      <c r="B19" s="9" t="n">
        <f aca="false">IF(B18="Met",Parameters!$E$12,0)</f>
        <v>0</v>
      </c>
      <c r="C19" s="32"/>
    </row>
    <row r="20" customFormat="false" ht="15" hidden="false" customHeight="false" outlineLevel="0" collapsed="false">
      <c r="A20" s="6" t="s">
        <v>157</v>
      </c>
      <c r="B20" s="9" t="n">
        <f aca="false">B9+B14+B16+B19</f>
        <v>47000</v>
      </c>
      <c r="C20" s="32"/>
    </row>
    <row r="21" customFormat="false" ht="15" hidden="false" customHeight="false" outlineLevel="0" collapsed="false">
      <c r="A21" s="6" t="s">
        <v>158</v>
      </c>
      <c r="B21" s="9" t="n">
        <f aca="false">Parameters!$E$13*Parameters!$E$5</f>
        <v>100000</v>
      </c>
      <c r="C21" s="32"/>
    </row>
    <row r="22" customFormat="false" ht="15" hidden="false" customHeight="false" outlineLevel="0" collapsed="false">
      <c r="A22" s="6" t="s">
        <v>160</v>
      </c>
      <c r="B22" s="36" t="n">
        <f aca="false">INDEX(Parameters!$C$39:$C$41,MATCH(B17,Parameters!$A$39:$A$41,1))</f>
        <v>1</v>
      </c>
      <c r="C22" s="32"/>
    </row>
    <row r="23" customFormat="false" ht="15" hidden="false" customHeight="false" outlineLevel="0" collapsed="false">
      <c r="A23" s="6" t="s">
        <v>161</v>
      </c>
      <c r="B23" s="38" t="n">
        <f aca="false">IF(B7&lt;Parameters!$B$51,0,MIN(B20,B21)*B22)</f>
        <v>47000</v>
      </c>
      <c r="C23" s="32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2026-09-26T10:26:04Z</dcterms:created>
  <dc:creator>openpyxl</dc:creator>
  <dc:description/>
  <dc:language>en-US</dc:language>
  <cp:lastModifiedBy/>
  <dcterms:modified xsi:type="dcterms:W3CDTF">2026-09-26T10:26:04Z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