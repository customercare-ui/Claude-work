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6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comments6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heme Summary" sheetId="1" state="visible" r:id="rId3"/>
    <sheet name="Scenarios" sheetId="2" state="visible" r:id="rId4"/>
    <sheet name="Payout Summary" sheetId="3" state="visible" r:id="rId5"/>
    <sheet name="Parameters" sheetId="4" state="visible" r:id="rId6"/>
    <sheet name="District Targets" sheetId="5" state="visible" r:id="rId7"/>
    <sheet name="TSO Incentive" sheetId="6" state="visible" r:id="rId8"/>
    <sheet name="Coordinator Incentive" sheetId="7" state="visible" r:id="rId9"/>
    <sheet name="ASM Incentive" sheetId="8" state="visible" r:id="rId10"/>
    <sheet name="RSM Incentive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R4" authorId="0">
      <text>
        <r>
          <rPr>
            <sz val="10"/>
            <rFont val="Arial"/>
            <family val="2"/>
          </rPr>
          <t xml:space="preserve">0 if no target or fewer than the minimum active dealers; else Earned × Collection factor</t>
        </r>
      </text>
    </comment>
  </commentList>
</comments>
</file>

<file path=xl/sharedStrings.xml><?xml version="1.0" encoding="utf-8"?>
<sst xmlns="http://schemas.openxmlformats.org/spreadsheetml/2006/main" count="285" uniqueCount="182">
  <si>
    <t xml:space="preserve">Turbolux Epoxy Campaign – Kerala: Sales Team Incentive Scheme</t>
  </si>
  <si>
    <t xml:space="preserve">Target ₹50 lakh epoxy sales @ ₹340/L ≈ 14,706 L · 20 active epoxy dealers per district · Oct–Dec 2026</t>
  </si>
  <si>
    <t xml:space="preserve">Sales target</t>
  </si>
  <si>
    <t xml:space="preserve">₹50,00,000 for Kerala (Q3: Oct–Dec 2026). At ₹340/L this is about 14,706 L, or 52.5 L per dealer across 280 dealers. You can change the rate and the total on Parameters.</t>
  </si>
  <si>
    <t xml:space="preserve">District split</t>
  </si>
  <si>
    <t xml:space="preserve">North districts get the biggest targets and earn the most: Kozhikode 14%, Malappuram 14%, Kannur 13%, Wayanad 11%. Medium: TVM 9%, Thrissur 8%, Kollam 7%, Palakkad 7%, Alappuzha 6%, Kasaragod 6%. Low (current sales are weak): Ernakulam 2%, Pathanamthitta 1.5%, Kottayam 1.5%. Idukki: no sales, no target, not in the scheme.</t>
  </si>
  <si>
    <t xml:space="preserve">Minimum and maximum</t>
  </si>
  <si>
    <t xml:space="preserve">80% of target = minimum incentive (50% of max). 100% of target = full incentive. Nothing extra is paid above 100% (cap).</t>
  </si>
  <si>
    <t xml:space="preserve">Slabs</t>
  </si>
  <si>
    <t xml:space="preserve">Below 80% → nil · 80–84.9% → 50% · 85–89.9% → 60% · 90–94.9% → 75% · 95–99.9% → 90% · 100% and above → 100%.</t>
  </si>
  <si>
    <t xml:space="preserve">Max incentive (at 100%)</t>
  </si>
  <si>
    <t xml:space="preserve">TSO: 3% of own district target value · Coordinator: 1% of team target · ASM: 0.5% of area target · RSM: 0.25% of Kerala target. A bigger target earns a bigger incentive.</t>
  </si>
  <si>
    <t xml:space="preserve">Dealer condition (TSO)</t>
  </si>
  <si>
    <t xml:space="preserve">Target is 20 active epoxy dealers per district. The TSO must have at least 10 active dealers (net billing of 20 L or more each) to get any incentive.</t>
  </si>
  <si>
    <t xml:space="preserve">Collection factor</t>
  </si>
  <si>
    <t xml:space="preserve">Applied to the payout. Based on collection of campaign epoxy billing by 31 Jan 2027: 90% or more → 100% · 80–89.9% → 75% · below 80% → nil.</t>
  </si>
  <si>
    <t xml:space="preserve">Budget</t>
  </si>
  <si>
    <t xml:space="preserve">At 100% everywhere, total incentive is about ₹2.38 lakh (4.75% of ₹50 lakh sales). At 80% it is about ₹0.95 lakh. See the 'Scenarios' sheet.</t>
  </si>
  <si>
    <t xml:space="preserve">Payout</t>
  </si>
  <si>
    <t xml:space="preserve">Worked out from SAP after the 31 Jan 2027 collection cut-off and paid with Feb 2027 salary. The employee must be on rolls on the payout date. Returns, FOC and dealer loading are deducted or disqualified.</t>
  </si>
  <si>
    <t xml:space="preserve">Using this file</t>
  </si>
  <si>
    <t xml:space="preserve">Edit only YELLOW cells with BLUE text: rate, total target and % rates on Parameters, district shares on District Targets, and actual litres, dealers and collection on the calculators. Actuals are SAMPLE values – replace them with SAP data.</t>
  </si>
  <si>
    <t xml:space="preserve">Incentive Scenarios – how much each executive must sell, and what they earn</t>
  </si>
  <si>
    <t xml:space="preserve">Minimum incentive at 80% of target, full incentive at 100% (capped). All values are formulas from Parameters and District Targets.</t>
  </si>
  <si>
    <t xml:space="preserve">Achievement →</t>
  </si>
  <si>
    <t xml:space="preserve">District</t>
  </si>
  <si>
    <t xml:space="preserve">Tier</t>
  </si>
  <si>
    <t xml:space="preserve">Target (₹)</t>
  </si>
  <si>
    <t xml:space="preserve">Target (L)</t>
  </si>
  <si>
    <t xml:space="preserve">MIN to sell @80% (₹)</t>
  </si>
  <si>
    <t xml:space="preserve">MIN to sell @80% (L)</t>
  </si>
  <si>
    <t xml:space="preserve">Max Incentive @100% (₹)</t>
  </si>
  <si>
    <t xml:space="preserve">ALL TSOs</t>
  </si>
  <si>
    <t xml:space="preserve">Whole-team cost if all of Kerala lands at the same achievement</t>
  </si>
  <si>
    <t xml:space="preserve">Role</t>
  </si>
  <si>
    <t xml:space="preserve">Basis</t>
  </si>
  <si>
    <t xml:space="preserve">Max @100% (₹)</t>
  </si>
  <si>
    <t xml:space="preserve">TSO (13 districts)</t>
  </si>
  <si>
    <t xml:space="preserve">3% of each district target</t>
  </si>
  <si>
    <t xml:space="preserve">Coordinators (5)</t>
  </si>
  <si>
    <t xml:space="preserve">1% of team target</t>
  </si>
  <si>
    <t xml:space="preserve">ASMs (3)</t>
  </si>
  <si>
    <t xml:space="preserve">0.5% of area target</t>
  </si>
  <si>
    <t xml:space="preserve">RSM (1)</t>
  </si>
  <si>
    <t xml:space="preserve">0.25% of Kerala target</t>
  </si>
  <si>
    <t xml:space="preserve">TOTAL INCENTIVE</t>
  </si>
  <si>
    <t xml:space="preserve">Kerala sales at this level (₹)</t>
  </si>
  <si>
    <t xml:space="preserve">Incentive as % of sales</t>
  </si>
  <si>
    <t xml:space="preserve">Kerala litres at this level</t>
  </si>
  <si>
    <t xml:space="preserve">Before the collection factor. Idukki has no target, so it earns nothing until you give it a share on District Targets.</t>
  </si>
  <si>
    <t xml:space="preserve">Campaign Payout Summary – Kerala Epoxy</t>
  </si>
  <si>
    <t xml:space="preserve">Headcount</t>
  </si>
  <si>
    <t xml:space="preserve">Actual Payout (₹)</t>
  </si>
  <si>
    <t xml:space="preserve">Earning &gt;0</t>
  </si>
  <si>
    <t xml:space="preserve">Avg per Head (₹)</t>
  </si>
  <si>
    <t xml:space="preserve">TSO</t>
  </si>
  <si>
    <t xml:space="preserve">Coordinator</t>
  </si>
  <si>
    <t xml:space="preserve">Area Sales Manager</t>
  </si>
  <si>
    <t xml:space="preserve">Regional Sales Manager</t>
  </si>
  <si>
    <t xml:space="preserve">TOTAL</t>
  </si>
  <si>
    <t xml:space="preserve">Scorecard</t>
  </si>
  <si>
    <t xml:space="preserve">Sales target (₹)</t>
  </si>
  <si>
    <t xml:space="preserve">Actual sales (₹)</t>
  </si>
  <si>
    <t xml:space="preserve">Actual (L)</t>
  </si>
  <si>
    <t xml:space="preserve">Achievement %</t>
  </si>
  <si>
    <t xml:space="preserve">Active dealers (target 260 = 13 × 20)</t>
  </si>
  <si>
    <t xml:space="preserve">Incentive paid as % of actual sales</t>
  </si>
  <si>
    <t xml:space="preserve">Incentive per litre sold (₹/L)</t>
  </si>
  <si>
    <t xml:space="preserve">Scheme Parameters (edit yellow cells – everything updates)</t>
  </si>
  <si>
    <t xml:space="preserve">Item</t>
  </si>
  <si>
    <t xml:space="preserve">Value</t>
  </si>
  <si>
    <t xml:space="preserve">Note</t>
  </si>
  <si>
    <t xml:space="preserve">Epoxy rate (₹ per litre)</t>
  </si>
  <si>
    <t xml:space="preserve">Given by you: ₹340/L.</t>
  </si>
  <si>
    <t xml:space="preserve">Kerala epoxy sales target (₹)</t>
  </si>
  <si>
    <t xml:space="preserve">Given by you: ₹50 lakh.</t>
  </si>
  <si>
    <t xml:space="preserve">Kerala target (litres)</t>
  </si>
  <si>
    <t xml:space="preserve">Target ÷ rate</t>
  </si>
  <si>
    <t xml:space="preserve">Active dealer target per district</t>
  </si>
  <si>
    <t xml:space="preserve">Your goal: 20 per district.</t>
  </si>
  <si>
    <t xml:space="preserve">Min active dealers for TSO to qualify</t>
  </si>
  <si>
    <t xml:space="preserve">Active = net epoxy billing ≥ 20 L in the campaign.</t>
  </si>
  <si>
    <t xml:space="preserve">Maximum incentive (paid at 100%)</t>
  </si>
  <si>
    <t xml:space="preserve">TSO – % of own district target value</t>
  </si>
  <si>
    <t xml:space="preserve">Big-target districts earn more.</t>
  </si>
  <si>
    <t xml:space="preserve">Coordinator – % of team target value</t>
  </si>
  <si>
    <t xml:space="preserve">ASM – % of area target value</t>
  </si>
  <si>
    <t xml:space="preserve">RSM – % of Kerala target value</t>
  </si>
  <si>
    <t xml:space="preserve">Achievement slabs (all roles) – 80% = minimum, 100% = maximum, capped</t>
  </si>
  <si>
    <t xml:space="preserve">Achievement from (≥)</t>
  </si>
  <si>
    <t xml:space="preserve">Band</t>
  </si>
  <si>
    <t xml:space="preserve">% of max</t>
  </si>
  <si>
    <t xml:space="preserve">Below 80%</t>
  </si>
  <si>
    <t xml:space="preserve">80% – 84.9%</t>
  </si>
  <si>
    <t xml:space="preserve">85% – 89.9%</t>
  </si>
  <si>
    <t xml:space="preserve">90% – 94.9%</t>
  </si>
  <si>
    <t xml:space="preserve">95% – 99.9%</t>
  </si>
  <si>
    <t xml:space="preserve">100% and above (cap)</t>
  </si>
  <si>
    <t xml:space="preserve">Collection factor (% of campaign epoxy billing collected by 31-Jan-2027)</t>
  </si>
  <si>
    <t xml:space="preserve">Collection from (≥)</t>
  </si>
  <si>
    <t xml:space="preserve">Multiplier</t>
  </si>
  <si>
    <t xml:space="preserve">80% – 89.9%</t>
  </si>
  <si>
    <t xml:space="preserve">90% and above</t>
  </si>
  <si>
    <t xml:space="preserve">District Targets – ₹50 lakh split by district potential</t>
  </si>
  <si>
    <t xml:space="preserve">Edit the Share % (yellow). Shares must add up to 100%. Targets in ₹ and litres follow.</t>
  </si>
  <si>
    <t xml:space="preserve">Code</t>
  </si>
  <si>
    <t xml:space="preserve">Area</t>
  </si>
  <si>
    <t xml:space="preserve">Share %</t>
  </si>
  <si>
    <t xml:space="preserve">Per month (L)</t>
  </si>
  <si>
    <t xml:space="preserve">Per dealer (L)</t>
  </si>
  <si>
    <t xml:space="preserve">Dealer Target</t>
  </si>
  <si>
    <t xml:space="preserve">Kozhikode</t>
  </si>
  <si>
    <t xml:space="preserve">CLT</t>
  </si>
  <si>
    <t xml:space="preserve">High</t>
  </si>
  <si>
    <t xml:space="preserve">Coord-4</t>
  </si>
  <si>
    <t xml:space="preserve">North</t>
  </si>
  <si>
    <t xml:space="preserve">Malappuram</t>
  </si>
  <si>
    <t xml:space="preserve">MLP</t>
  </si>
  <si>
    <t xml:space="preserve">Kannur</t>
  </si>
  <si>
    <t xml:space="preserve">KNR</t>
  </si>
  <si>
    <t xml:space="preserve">Coord-5</t>
  </si>
  <si>
    <t xml:space="preserve">Wayanad</t>
  </si>
  <si>
    <t xml:space="preserve">WYD</t>
  </si>
  <si>
    <t xml:space="preserve">Thiruvananthapuram</t>
  </si>
  <si>
    <t xml:space="preserve">TVM</t>
  </si>
  <si>
    <t xml:space="preserve">Medium</t>
  </si>
  <si>
    <t xml:space="preserve">Coord-1</t>
  </si>
  <si>
    <t xml:space="preserve">South</t>
  </si>
  <si>
    <t xml:space="preserve">Thrissur</t>
  </si>
  <si>
    <t xml:space="preserve">TSR</t>
  </si>
  <si>
    <t xml:space="preserve">Coord-3</t>
  </si>
  <si>
    <t xml:space="preserve">Central</t>
  </si>
  <si>
    <t xml:space="preserve">Kollam</t>
  </si>
  <si>
    <t xml:space="preserve">KLM</t>
  </si>
  <si>
    <t xml:space="preserve">Palakkad</t>
  </si>
  <si>
    <t xml:space="preserve">PKD</t>
  </si>
  <si>
    <t xml:space="preserve">Alappuzha</t>
  </si>
  <si>
    <t xml:space="preserve">ALP</t>
  </si>
  <si>
    <t xml:space="preserve">Coord-2</t>
  </si>
  <si>
    <t xml:space="preserve">Kasaragod</t>
  </si>
  <si>
    <t xml:space="preserve">KSD</t>
  </si>
  <si>
    <t xml:space="preserve">Ernakulam</t>
  </si>
  <si>
    <t xml:space="preserve">EKM</t>
  </si>
  <si>
    <t xml:space="preserve">Low</t>
  </si>
  <si>
    <t xml:space="preserve">Pathanamthitta</t>
  </si>
  <si>
    <t xml:space="preserve">PTA</t>
  </si>
  <si>
    <t xml:space="preserve">Kottayam</t>
  </si>
  <si>
    <t xml:space="preserve">KTM</t>
  </si>
  <si>
    <t xml:space="preserve">Idukki</t>
  </si>
  <si>
    <t xml:space="preserve">IDK</t>
  </si>
  <si>
    <t xml:space="preserve">No sales</t>
  </si>
  <si>
    <t xml:space="preserve">KERALA TOTAL</t>
  </si>
  <si>
    <t xml:space="preserve">TSO Incentive Calculator – actual performance</t>
  </si>
  <si>
    <t xml:space="preserve">Enter actual net litres, active dealers and collection % (yellow). Sample values shown – replace with SAP data.</t>
  </si>
  <si>
    <t xml:space="preserve">S.No</t>
  </si>
  <si>
    <t xml:space="preserve">Actual Net (L)</t>
  </si>
  <si>
    <t xml:space="preserve">Actual (₹)</t>
  </si>
  <si>
    <t xml:space="preserve">Achv %</t>
  </si>
  <si>
    <t xml:space="preserve">Slab %</t>
  </si>
  <si>
    <t xml:space="preserve">Max Incentive (₹)</t>
  </si>
  <si>
    <t xml:space="preserve">Earned (₹)</t>
  </si>
  <si>
    <t xml:space="preserve">Active Dealers</t>
  </si>
  <si>
    <t xml:space="preserve">Dealer Gate</t>
  </si>
  <si>
    <t xml:space="preserve">Collection %</t>
  </si>
  <si>
    <t xml:space="preserve">Coll. Factor</t>
  </si>
  <si>
    <t xml:space="preserve">FINAL PAYOUT (₹)</t>
  </si>
  <si>
    <t xml:space="preserve">Coordinator Incentive Calculator</t>
  </si>
  <si>
    <t xml:space="preserve">Targets and actuals roll up from 'TSO Incentive'. The only input here is Collection %.</t>
  </si>
  <si>
    <t xml:space="preserve">Name</t>
  </si>
  <si>
    <t xml:space="preserve">Districts</t>
  </si>
  <si>
    <t xml:space="preserve">TVM, KLM, PTA</t>
  </si>
  <si>
    <t xml:space="preserve">ALP, KTM, IDK</t>
  </si>
  <si>
    <t xml:space="preserve">TSR, EKM</t>
  </si>
  <si>
    <t xml:space="preserve">CLT, MLP, PKD</t>
  </si>
  <si>
    <t xml:space="preserve">KNR, WYD, KSD</t>
  </si>
  <si>
    <t xml:space="preserve">Area Sales Manager Incentive Calculator</t>
  </si>
  <si>
    <t xml:space="preserve">TVM, KLM, ALP, PTA</t>
  </si>
  <si>
    <t xml:space="preserve">TSR, EKM, KTM, IDK</t>
  </si>
  <si>
    <t xml:space="preserve">CLT, MLP, KNR, WYD, PKD, KSD</t>
  </si>
  <si>
    <t xml:space="preserve">Regional Sales Manager Incentive Calculator – Kerala</t>
  </si>
  <si>
    <t xml:space="preserve">Kerala</t>
  </si>
  <si>
    <t xml:space="preserve">All 13 districts with a target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</si>
</sst>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&quot;@ &quot;0%"/>
    <numFmt numFmtId="166" formatCode="\₹#,##0;&quot;(₹&quot;#,##0\);\-"/>
    <numFmt numFmtId="167" formatCode="#,##0;\(#,##0\);\-"/>
    <numFmt numFmtId="168" formatCode="0.0%;\(0.0%\);\-"/>
    <numFmt numFmtId="169" formatCode="General"/>
    <numFmt numFmtId="170" formatCode="\₹#,##0.00"/>
    <numFmt numFmtId="171" formatCode="0"/>
    <numFmt numFmtId="172" formatCode="0.00%"/>
    <numFmt numFmtId="173" formatCode="0%"/>
    <numFmt numFmtId="174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color rgb="FFC0000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2EFDA"/>
        <bgColor rgb="FFEDEDED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EDEDED"/>
        <bgColor rgb="FFE2EFDA"/>
      </patternFill>
    </fill>
    <fill>
      <patternFill patternType="solid">
        <fgColor rgb="FFD9E1F2"/>
        <bgColor rgb="FFE2EFDA"/>
      </patternFill>
    </fill>
    <fill>
      <patternFill patternType="solid">
        <fgColor rgb="FFFFFF00"/>
        <bgColor rgb="FFFFFF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  <border diagonalUp="false" diagonalDown="false">
      <left style="thin">
        <color rgb="FFA6A6A6"/>
      </left>
      <right/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6" fillId="7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1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6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0C0C0"/>
      <rgbColor rgb="FF808080"/>
      <rgbColor rgb="FF9999FF"/>
      <rgbColor rgb="FF7030A0"/>
      <rgbColor rgb="FFFFF2CC"/>
      <rgbColor rgb="FFEDEDED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000"/>
      <rgbColor rgb="FFFF9900"/>
      <rgbColor rgb="FFFF6600"/>
      <rgbColor rgb="FF666699"/>
      <rgbColor rgb="FFA6A6A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3864"/>
    <pageSetUpPr fitToPage="false"/>
  </sheetPr>
  <dimension ref="B1:C1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26"/>
    <col collapsed="false" customWidth="true" hidden="false" outlineLevel="0" max="3" min="3" style="0" width="100"/>
  </cols>
  <sheetData>
    <row r="1" customFormat="false" ht="17.3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43.5" hidden="false" customHeight="true" outlineLevel="0" collapsed="false">
      <c r="B4" s="3" t="s">
        <v>2</v>
      </c>
      <c r="C4" s="4" t="s">
        <v>3</v>
      </c>
    </row>
    <row r="5" customFormat="false" ht="43.5" hidden="false" customHeight="true" outlineLevel="0" collapsed="false">
      <c r="B5" s="3" t="s">
        <v>4</v>
      </c>
      <c r="C5" s="4" t="s">
        <v>5</v>
      </c>
    </row>
    <row r="6" customFormat="false" ht="43.5" hidden="false" customHeight="true" outlineLevel="0" collapsed="false">
      <c r="B6" s="3" t="s">
        <v>6</v>
      </c>
      <c r="C6" s="4" t="s">
        <v>7</v>
      </c>
    </row>
    <row r="7" customFormat="false" ht="43.5" hidden="false" customHeight="true" outlineLevel="0" collapsed="false">
      <c r="B7" s="3" t="s">
        <v>8</v>
      </c>
      <c r="C7" s="4" t="s">
        <v>9</v>
      </c>
    </row>
    <row r="8" customFormat="false" ht="43.5" hidden="false" customHeight="true" outlineLevel="0" collapsed="false">
      <c r="B8" s="3" t="s">
        <v>10</v>
      </c>
      <c r="C8" s="4" t="s">
        <v>11</v>
      </c>
    </row>
    <row r="9" customFormat="false" ht="43.5" hidden="false" customHeight="true" outlineLevel="0" collapsed="false">
      <c r="B9" s="3" t="s">
        <v>12</v>
      </c>
      <c r="C9" s="4" t="s">
        <v>13</v>
      </c>
    </row>
    <row r="10" customFormat="false" ht="43.5" hidden="false" customHeight="true" outlineLevel="0" collapsed="false">
      <c r="B10" s="3" t="s">
        <v>14</v>
      </c>
      <c r="C10" s="4" t="s">
        <v>15</v>
      </c>
    </row>
    <row r="11" customFormat="false" ht="43.5" hidden="false" customHeight="true" outlineLevel="0" collapsed="false">
      <c r="B11" s="3" t="s">
        <v>16</v>
      </c>
      <c r="C11" s="4" t="s">
        <v>17</v>
      </c>
    </row>
    <row r="12" customFormat="false" ht="43.5" hidden="false" customHeight="true" outlineLevel="0" collapsed="false">
      <c r="B12" s="3" t="s">
        <v>18</v>
      </c>
      <c r="C12" s="4" t="s">
        <v>19</v>
      </c>
    </row>
    <row r="13" customFormat="false" ht="43.5" hidden="false" customHeight="true" outlineLevel="0" collapsed="false">
      <c r="B13" s="3" t="s">
        <v>20</v>
      </c>
      <c r="C13" s="4" t="s">
        <v>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030A0"/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0"/>
    <col collapsed="false" customWidth="true" hidden="false" outlineLevel="0" max="3" min="3" style="0" width="13"/>
    <col collapsed="false" customWidth="true" hidden="false" outlineLevel="0" max="4" min="4" style="0" width="11"/>
    <col collapsed="false" customWidth="true" hidden="false" outlineLevel="0" max="5" min="5" style="0" width="14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12" min="8" style="0" width="12"/>
  </cols>
  <sheetData>
    <row r="1" customFormat="false" ht="17.35" hidden="false" customHeight="false" outlineLevel="0" collapsed="false">
      <c r="A1" s="1" t="s">
        <v>22</v>
      </c>
    </row>
    <row r="2" customFormat="false" ht="15" hidden="false" customHeight="false" outlineLevel="0" collapsed="false">
      <c r="A2" s="5" t="s">
        <v>23</v>
      </c>
    </row>
    <row r="4" customFormat="false" ht="15" hidden="false" customHeight="false" outlineLevel="0" collapsed="false">
      <c r="G4" s="6" t="s">
        <v>24</v>
      </c>
      <c r="H4" s="7" t="n">
        <v>0.8</v>
      </c>
      <c r="I4" s="7" t="n">
        <v>0.85</v>
      </c>
      <c r="J4" s="7" t="n">
        <v>0.9</v>
      </c>
      <c r="K4" s="7" t="n">
        <v>0.95</v>
      </c>
      <c r="L4" s="7" t="n">
        <v>1</v>
      </c>
    </row>
    <row r="5" customFormat="false" ht="39.75" hidden="false" customHeight="true" outlineLevel="0" collapsed="false">
      <c r="A5" s="8" t="s">
        <v>25</v>
      </c>
      <c r="B5" s="8" t="s">
        <v>26</v>
      </c>
      <c r="C5" s="8" t="s">
        <v>27</v>
      </c>
      <c r="D5" s="8" t="s">
        <v>28</v>
      </c>
      <c r="E5" s="8" t="s">
        <v>29</v>
      </c>
      <c r="F5" s="8" t="s">
        <v>30</v>
      </c>
      <c r="G5" s="8" t="s">
        <v>31</v>
      </c>
      <c r="H5" s="8" t="str">
        <f aca="false">"TSO earns ("&amp;TEXT(INDEX(Parameters!$C$19:$C$24,MATCH(H$4,Parameters!$A$19:$A$24,1)),"0%")&amp;" of max)"</f>
        <v>TSO earns (50% of max)</v>
      </c>
      <c r="I5" s="8" t="str">
        <f aca="false">"TSO earns ("&amp;TEXT(INDEX(Parameters!$C$19:$C$24,MATCH(I$4,Parameters!$A$19:$A$24,1)),"0%")&amp;" of max)"</f>
        <v>TSO earns (60% of max)</v>
      </c>
      <c r="J5" s="8" t="str">
        <f aca="false">"TSO earns ("&amp;TEXT(INDEX(Parameters!$C$19:$C$24,MATCH(J$4,Parameters!$A$19:$A$24,1)),"0%")&amp;" of max)"</f>
        <v>TSO earns (75% of max)</v>
      </c>
      <c r="K5" s="8" t="str">
        <f aca="false">"TSO earns ("&amp;TEXT(INDEX(Parameters!$C$19:$C$24,MATCH(K$4,Parameters!$A$19:$A$24,1)),"0%")&amp;" of max)"</f>
        <v>TSO earns (90% of max)</v>
      </c>
      <c r="L5" s="8" t="str">
        <f aca="false">"TSO earns ("&amp;TEXT(INDEX(Parameters!$C$19:$C$24,MATCH(L$4,Parameters!$A$19:$A$24,1)),"0%")&amp;" of max)"</f>
        <v>TSO earns (100% of max)</v>
      </c>
    </row>
    <row r="6" customFormat="false" ht="15" hidden="false" customHeight="false" outlineLevel="0" collapsed="false">
      <c r="A6" s="9" t="str">
        <f aca="false">'District Targets'!A5</f>
        <v>Kozhikode</v>
      </c>
      <c r="B6" s="10" t="str">
        <f aca="false">'District Targets'!C5</f>
        <v>High</v>
      </c>
      <c r="C6" s="11" t="n">
        <f aca="false">'District Targets'!G5</f>
        <v>700000</v>
      </c>
      <c r="D6" s="12" t="n">
        <f aca="false">'District Targets'!H5</f>
        <v>2058.82352941177</v>
      </c>
      <c r="E6" s="13" t="n">
        <f aca="false">C6*Parameters!$A$20</f>
        <v>560000</v>
      </c>
      <c r="F6" s="14" t="n">
        <f aca="false">D6*Parameters!$A$20</f>
        <v>1647.05882352941</v>
      </c>
      <c r="G6" s="15" t="n">
        <f aca="false">C6*Parameters!$B$11</f>
        <v>21000</v>
      </c>
      <c r="H6" s="13" t="n">
        <f aca="false">$G6*INDEX(Parameters!$C$19:$C$24,MATCH(H$4,Parameters!$A$19:$A$24,1))</f>
        <v>10500</v>
      </c>
      <c r="I6" s="13" t="n">
        <f aca="false">$G6*INDEX(Parameters!$C$19:$C$24,MATCH(I$4,Parameters!$A$19:$A$24,1))</f>
        <v>12600</v>
      </c>
      <c r="J6" s="13" t="n">
        <f aca="false">$G6*INDEX(Parameters!$C$19:$C$24,MATCH(J$4,Parameters!$A$19:$A$24,1))</f>
        <v>15750</v>
      </c>
      <c r="K6" s="13" t="n">
        <f aca="false">$G6*INDEX(Parameters!$C$19:$C$24,MATCH(K$4,Parameters!$A$19:$A$24,1))</f>
        <v>18900</v>
      </c>
      <c r="L6" s="13" t="n">
        <f aca="false">$G6*INDEX(Parameters!$C$19:$C$24,MATCH(L$4,Parameters!$A$19:$A$24,1))</f>
        <v>21000</v>
      </c>
    </row>
    <row r="7" customFormat="false" ht="15" hidden="false" customHeight="false" outlineLevel="0" collapsed="false">
      <c r="A7" s="9" t="str">
        <f aca="false">'District Targets'!A6</f>
        <v>Malappuram</v>
      </c>
      <c r="B7" s="10" t="str">
        <f aca="false">'District Targets'!C6</f>
        <v>High</v>
      </c>
      <c r="C7" s="11" t="n">
        <f aca="false">'District Targets'!G6</f>
        <v>700000</v>
      </c>
      <c r="D7" s="12" t="n">
        <f aca="false">'District Targets'!H6</f>
        <v>2058.82352941177</v>
      </c>
      <c r="E7" s="13" t="n">
        <f aca="false">C7*Parameters!$A$20</f>
        <v>560000</v>
      </c>
      <c r="F7" s="14" t="n">
        <f aca="false">D7*Parameters!$A$20</f>
        <v>1647.05882352941</v>
      </c>
      <c r="G7" s="15" t="n">
        <f aca="false">C7*Parameters!$B$11</f>
        <v>21000</v>
      </c>
      <c r="H7" s="13" t="n">
        <f aca="false">$G7*INDEX(Parameters!$C$19:$C$24,MATCH(H$4,Parameters!$A$19:$A$24,1))</f>
        <v>10500</v>
      </c>
      <c r="I7" s="13" t="n">
        <f aca="false">$G7*INDEX(Parameters!$C$19:$C$24,MATCH(I$4,Parameters!$A$19:$A$24,1))</f>
        <v>12600</v>
      </c>
      <c r="J7" s="13" t="n">
        <f aca="false">$G7*INDEX(Parameters!$C$19:$C$24,MATCH(J$4,Parameters!$A$19:$A$24,1))</f>
        <v>15750</v>
      </c>
      <c r="K7" s="13" t="n">
        <f aca="false">$G7*INDEX(Parameters!$C$19:$C$24,MATCH(K$4,Parameters!$A$19:$A$24,1))</f>
        <v>18900</v>
      </c>
      <c r="L7" s="13" t="n">
        <f aca="false">$G7*INDEX(Parameters!$C$19:$C$24,MATCH(L$4,Parameters!$A$19:$A$24,1))</f>
        <v>21000</v>
      </c>
    </row>
    <row r="8" customFormat="false" ht="15" hidden="false" customHeight="false" outlineLevel="0" collapsed="false">
      <c r="A8" s="9" t="str">
        <f aca="false">'District Targets'!A7</f>
        <v>Kannur</v>
      </c>
      <c r="B8" s="10" t="str">
        <f aca="false">'District Targets'!C7</f>
        <v>High</v>
      </c>
      <c r="C8" s="11" t="n">
        <f aca="false">'District Targets'!G7</f>
        <v>650000</v>
      </c>
      <c r="D8" s="12" t="n">
        <f aca="false">'District Targets'!H7</f>
        <v>1911.76470588235</v>
      </c>
      <c r="E8" s="13" t="n">
        <f aca="false">C8*Parameters!$A$20</f>
        <v>520000</v>
      </c>
      <c r="F8" s="14" t="n">
        <f aca="false">D8*Parameters!$A$20</f>
        <v>1529.41176470588</v>
      </c>
      <c r="G8" s="15" t="n">
        <f aca="false">C8*Parameters!$B$11</f>
        <v>19500</v>
      </c>
      <c r="H8" s="13" t="n">
        <f aca="false">$G8*INDEX(Parameters!$C$19:$C$24,MATCH(H$4,Parameters!$A$19:$A$24,1))</f>
        <v>9750</v>
      </c>
      <c r="I8" s="13" t="n">
        <f aca="false">$G8*INDEX(Parameters!$C$19:$C$24,MATCH(I$4,Parameters!$A$19:$A$24,1))</f>
        <v>11700</v>
      </c>
      <c r="J8" s="13" t="n">
        <f aca="false">$G8*INDEX(Parameters!$C$19:$C$24,MATCH(J$4,Parameters!$A$19:$A$24,1))</f>
        <v>14625</v>
      </c>
      <c r="K8" s="13" t="n">
        <f aca="false">$G8*INDEX(Parameters!$C$19:$C$24,MATCH(K$4,Parameters!$A$19:$A$24,1))</f>
        <v>17550</v>
      </c>
      <c r="L8" s="13" t="n">
        <f aca="false">$G8*INDEX(Parameters!$C$19:$C$24,MATCH(L$4,Parameters!$A$19:$A$24,1))</f>
        <v>19500</v>
      </c>
    </row>
    <row r="9" customFormat="false" ht="15" hidden="false" customHeight="false" outlineLevel="0" collapsed="false">
      <c r="A9" s="9" t="str">
        <f aca="false">'District Targets'!A8</f>
        <v>Wayanad</v>
      </c>
      <c r="B9" s="10" t="str">
        <f aca="false">'District Targets'!C8</f>
        <v>High</v>
      </c>
      <c r="C9" s="11" t="n">
        <f aca="false">'District Targets'!G8</f>
        <v>550000</v>
      </c>
      <c r="D9" s="12" t="n">
        <f aca="false">'District Targets'!H8</f>
        <v>1617.64705882353</v>
      </c>
      <c r="E9" s="13" t="n">
        <f aca="false">C9*Parameters!$A$20</f>
        <v>440000</v>
      </c>
      <c r="F9" s="14" t="n">
        <f aca="false">D9*Parameters!$A$20</f>
        <v>1294.11764705882</v>
      </c>
      <c r="G9" s="15" t="n">
        <f aca="false">C9*Parameters!$B$11</f>
        <v>16500</v>
      </c>
      <c r="H9" s="13" t="n">
        <f aca="false">$G9*INDEX(Parameters!$C$19:$C$24,MATCH(H$4,Parameters!$A$19:$A$24,1))</f>
        <v>8250</v>
      </c>
      <c r="I9" s="13" t="n">
        <f aca="false">$G9*INDEX(Parameters!$C$19:$C$24,MATCH(I$4,Parameters!$A$19:$A$24,1))</f>
        <v>9900</v>
      </c>
      <c r="J9" s="13" t="n">
        <f aca="false">$G9*INDEX(Parameters!$C$19:$C$24,MATCH(J$4,Parameters!$A$19:$A$24,1))</f>
        <v>12375</v>
      </c>
      <c r="K9" s="13" t="n">
        <f aca="false">$G9*INDEX(Parameters!$C$19:$C$24,MATCH(K$4,Parameters!$A$19:$A$24,1))</f>
        <v>14850</v>
      </c>
      <c r="L9" s="13" t="n">
        <f aca="false">$G9*INDEX(Parameters!$C$19:$C$24,MATCH(L$4,Parameters!$A$19:$A$24,1))</f>
        <v>16500</v>
      </c>
    </row>
    <row r="10" customFormat="false" ht="15" hidden="false" customHeight="false" outlineLevel="0" collapsed="false">
      <c r="A10" s="9" t="str">
        <f aca="false">'District Targets'!A9</f>
        <v>Thiruvananthapuram</v>
      </c>
      <c r="B10" s="16" t="str">
        <f aca="false">'District Targets'!C9</f>
        <v>Medium</v>
      </c>
      <c r="C10" s="11" t="n">
        <f aca="false">'District Targets'!G9</f>
        <v>450000</v>
      </c>
      <c r="D10" s="12" t="n">
        <f aca="false">'District Targets'!H9</f>
        <v>1323.52941176471</v>
      </c>
      <c r="E10" s="13" t="n">
        <f aca="false">C10*Parameters!$A$20</f>
        <v>360000</v>
      </c>
      <c r="F10" s="14" t="n">
        <f aca="false">D10*Parameters!$A$20</f>
        <v>1058.82352941176</v>
      </c>
      <c r="G10" s="15" t="n">
        <f aca="false">C10*Parameters!$B$11</f>
        <v>13500</v>
      </c>
      <c r="H10" s="13" t="n">
        <f aca="false">$G10*INDEX(Parameters!$C$19:$C$24,MATCH(H$4,Parameters!$A$19:$A$24,1))</f>
        <v>6750</v>
      </c>
      <c r="I10" s="13" t="n">
        <f aca="false">$G10*INDEX(Parameters!$C$19:$C$24,MATCH(I$4,Parameters!$A$19:$A$24,1))</f>
        <v>8100</v>
      </c>
      <c r="J10" s="13" t="n">
        <f aca="false">$G10*INDEX(Parameters!$C$19:$C$24,MATCH(J$4,Parameters!$A$19:$A$24,1))</f>
        <v>10125</v>
      </c>
      <c r="K10" s="13" t="n">
        <f aca="false">$G10*INDEX(Parameters!$C$19:$C$24,MATCH(K$4,Parameters!$A$19:$A$24,1))</f>
        <v>12150</v>
      </c>
      <c r="L10" s="13" t="n">
        <f aca="false">$G10*INDEX(Parameters!$C$19:$C$24,MATCH(L$4,Parameters!$A$19:$A$24,1))</f>
        <v>13500</v>
      </c>
    </row>
    <row r="11" customFormat="false" ht="15" hidden="false" customHeight="false" outlineLevel="0" collapsed="false">
      <c r="A11" s="9" t="str">
        <f aca="false">'District Targets'!A10</f>
        <v>Thrissur</v>
      </c>
      <c r="B11" s="16" t="str">
        <f aca="false">'District Targets'!C10</f>
        <v>Medium</v>
      </c>
      <c r="C11" s="11" t="n">
        <f aca="false">'District Targets'!G10</f>
        <v>400000</v>
      </c>
      <c r="D11" s="12" t="n">
        <f aca="false">'District Targets'!H10</f>
        <v>1176.47058823529</v>
      </c>
      <c r="E11" s="13" t="n">
        <f aca="false">C11*Parameters!$A$20</f>
        <v>320000</v>
      </c>
      <c r="F11" s="14" t="n">
        <f aca="false">D11*Parameters!$A$20</f>
        <v>941.176470588235</v>
      </c>
      <c r="G11" s="15" t="n">
        <f aca="false">C11*Parameters!$B$11</f>
        <v>12000</v>
      </c>
      <c r="H11" s="13" t="n">
        <f aca="false">$G11*INDEX(Parameters!$C$19:$C$24,MATCH(H$4,Parameters!$A$19:$A$24,1))</f>
        <v>6000</v>
      </c>
      <c r="I11" s="13" t="n">
        <f aca="false">$G11*INDEX(Parameters!$C$19:$C$24,MATCH(I$4,Parameters!$A$19:$A$24,1))</f>
        <v>7200</v>
      </c>
      <c r="J11" s="13" t="n">
        <f aca="false">$G11*INDEX(Parameters!$C$19:$C$24,MATCH(J$4,Parameters!$A$19:$A$24,1))</f>
        <v>9000</v>
      </c>
      <c r="K11" s="13" t="n">
        <f aca="false">$G11*INDEX(Parameters!$C$19:$C$24,MATCH(K$4,Parameters!$A$19:$A$24,1))</f>
        <v>10800</v>
      </c>
      <c r="L11" s="13" t="n">
        <f aca="false">$G11*INDEX(Parameters!$C$19:$C$24,MATCH(L$4,Parameters!$A$19:$A$24,1))</f>
        <v>12000</v>
      </c>
    </row>
    <row r="12" customFormat="false" ht="15" hidden="false" customHeight="false" outlineLevel="0" collapsed="false">
      <c r="A12" s="9" t="str">
        <f aca="false">'District Targets'!A11</f>
        <v>Kollam</v>
      </c>
      <c r="B12" s="16" t="str">
        <f aca="false">'District Targets'!C11</f>
        <v>Medium</v>
      </c>
      <c r="C12" s="11" t="n">
        <f aca="false">'District Targets'!G11</f>
        <v>350000</v>
      </c>
      <c r="D12" s="12" t="n">
        <f aca="false">'District Targets'!H11</f>
        <v>1029.41176470588</v>
      </c>
      <c r="E12" s="13" t="n">
        <f aca="false">C12*Parameters!$A$20</f>
        <v>280000</v>
      </c>
      <c r="F12" s="14" t="n">
        <f aca="false">D12*Parameters!$A$20</f>
        <v>823.529411764706</v>
      </c>
      <c r="G12" s="15" t="n">
        <f aca="false">C12*Parameters!$B$11</f>
        <v>10500</v>
      </c>
      <c r="H12" s="13" t="n">
        <f aca="false">$G12*INDEX(Parameters!$C$19:$C$24,MATCH(H$4,Parameters!$A$19:$A$24,1))</f>
        <v>5250</v>
      </c>
      <c r="I12" s="13" t="n">
        <f aca="false">$G12*INDEX(Parameters!$C$19:$C$24,MATCH(I$4,Parameters!$A$19:$A$24,1))</f>
        <v>6300</v>
      </c>
      <c r="J12" s="13" t="n">
        <f aca="false">$G12*INDEX(Parameters!$C$19:$C$24,MATCH(J$4,Parameters!$A$19:$A$24,1))</f>
        <v>7875</v>
      </c>
      <c r="K12" s="13" t="n">
        <f aca="false">$G12*INDEX(Parameters!$C$19:$C$24,MATCH(K$4,Parameters!$A$19:$A$24,1))</f>
        <v>9450</v>
      </c>
      <c r="L12" s="13" t="n">
        <f aca="false">$G12*INDEX(Parameters!$C$19:$C$24,MATCH(L$4,Parameters!$A$19:$A$24,1))</f>
        <v>10500</v>
      </c>
    </row>
    <row r="13" customFormat="false" ht="15" hidden="false" customHeight="false" outlineLevel="0" collapsed="false">
      <c r="A13" s="9" t="str">
        <f aca="false">'District Targets'!A12</f>
        <v>Palakkad</v>
      </c>
      <c r="B13" s="16" t="str">
        <f aca="false">'District Targets'!C12</f>
        <v>Medium</v>
      </c>
      <c r="C13" s="11" t="n">
        <f aca="false">'District Targets'!G12</f>
        <v>350000</v>
      </c>
      <c r="D13" s="12" t="n">
        <f aca="false">'District Targets'!H12</f>
        <v>1029.41176470588</v>
      </c>
      <c r="E13" s="13" t="n">
        <f aca="false">C13*Parameters!$A$20</f>
        <v>280000</v>
      </c>
      <c r="F13" s="14" t="n">
        <f aca="false">D13*Parameters!$A$20</f>
        <v>823.529411764706</v>
      </c>
      <c r="G13" s="15" t="n">
        <f aca="false">C13*Parameters!$B$11</f>
        <v>10500</v>
      </c>
      <c r="H13" s="13" t="n">
        <f aca="false">$G13*INDEX(Parameters!$C$19:$C$24,MATCH(H$4,Parameters!$A$19:$A$24,1))</f>
        <v>5250</v>
      </c>
      <c r="I13" s="13" t="n">
        <f aca="false">$G13*INDEX(Parameters!$C$19:$C$24,MATCH(I$4,Parameters!$A$19:$A$24,1))</f>
        <v>6300</v>
      </c>
      <c r="J13" s="13" t="n">
        <f aca="false">$G13*INDEX(Parameters!$C$19:$C$24,MATCH(J$4,Parameters!$A$19:$A$24,1))</f>
        <v>7875</v>
      </c>
      <c r="K13" s="13" t="n">
        <f aca="false">$G13*INDEX(Parameters!$C$19:$C$24,MATCH(K$4,Parameters!$A$19:$A$24,1))</f>
        <v>9450</v>
      </c>
      <c r="L13" s="13" t="n">
        <f aca="false">$G13*INDEX(Parameters!$C$19:$C$24,MATCH(L$4,Parameters!$A$19:$A$24,1))</f>
        <v>10500</v>
      </c>
    </row>
    <row r="14" customFormat="false" ht="15" hidden="false" customHeight="false" outlineLevel="0" collapsed="false">
      <c r="A14" s="9" t="str">
        <f aca="false">'District Targets'!A13</f>
        <v>Alappuzha</v>
      </c>
      <c r="B14" s="16" t="str">
        <f aca="false">'District Targets'!C13</f>
        <v>Medium</v>
      </c>
      <c r="C14" s="11" t="n">
        <f aca="false">'District Targets'!G13</f>
        <v>300000</v>
      </c>
      <c r="D14" s="12" t="n">
        <f aca="false">'District Targets'!H13</f>
        <v>882.352941176471</v>
      </c>
      <c r="E14" s="13" t="n">
        <f aca="false">C14*Parameters!$A$20</f>
        <v>240000</v>
      </c>
      <c r="F14" s="14" t="n">
        <f aca="false">D14*Parameters!$A$20</f>
        <v>705.882352941177</v>
      </c>
      <c r="G14" s="15" t="n">
        <f aca="false">C14*Parameters!$B$11</f>
        <v>9000</v>
      </c>
      <c r="H14" s="13" t="n">
        <f aca="false">$G14*INDEX(Parameters!$C$19:$C$24,MATCH(H$4,Parameters!$A$19:$A$24,1))</f>
        <v>4500</v>
      </c>
      <c r="I14" s="13" t="n">
        <f aca="false">$G14*INDEX(Parameters!$C$19:$C$24,MATCH(I$4,Parameters!$A$19:$A$24,1))</f>
        <v>5400</v>
      </c>
      <c r="J14" s="13" t="n">
        <f aca="false">$G14*INDEX(Parameters!$C$19:$C$24,MATCH(J$4,Parameters!$A$19:$A$24,1))</f>
        <v>6750</v>
      </c>
      <c r="K14" s="13" t="n">
        <f aca="false">$G14*INDEX(Parameters!$C$19:$C$24,MATCH(K$4,Parameters!$A$19:$A$24,1))</f>
        <v>8100</v>
      </c>
      <c r="L14" s="13" t="n">
        <f aca="false">$G14*INDEX(Parameters!$C$19:$C$24,MATCH(L$4,Parameters!$A$19:$A$24,1))</f>
        <v>9000</v>
      </c>
    </row>
    <row r="15" customFormat="false" ht="15" hidden="false" customHeight="false" outlineLevel="0" collapsed="false">
      <c r="A15" s="9" t="str">
        <f aca="false">'District Targets'!A14</f>
        <v>Kasaragod</v>
      </c>
      <c r="B15" s="16" t="str">
        <f aca="false">'District Targets'!C14</f>
        <v>Medium</v>
      </c>
      <c r="C15" s="11" t="n">
        <f aca="false">'District Targets'!G14</f>
        <v>300000</v>
      </c>
      <c r="D15" s="12" t="n">
        <f aca="false">'District Targets'!H14</f>
        <v>882.352941176471</v>
      </c>
      <c r="E15" s="13" t="n">
        <f aca="false">C15*Parameters!$A$20</f>
        <v>240000</v>
      </c>
      <c r="F15" s="14" t="n">
        <f aca="false">D15*Parameters!$A$20</f>
        <v>705.882352941177</v>
      </c>
      <c r="G15" s="15" t="n">
        <f aca="false">C15*Parameters!$B$11</f>
        <v>9000</v>
      </c>
      <c r="H15" s="13" t="n">
        <f aca="false">$G15*INDEX(Parameters!$C$19:$C$24,MATCH(H$4,Parameters!$A$19:$A$24,1))</f>
        <v>4500</v>
      </c>
      <c r="I15" s="13" t="n">
        <f aca="false">$G15*INDEX(Parameters!$C$19:$C$24,MATCH(I$4,Parameters!$A$19:$A$24,1))</f>
        <v>5400</v>
      </c>
      <c r="J15" s="13" t="n">
        <f aca="false">$G15*INDEX(Parameters!$C$19:$C$24,MATCH(J$4,Parameters!$A$19:$A$24,1))</f>
        <v>6750</v>
      </c>
      <c r="K15" s="13" t="n">
        <f aca="false">$G15*INDEX(Parameters!$C$19:$C$24,MATCH(K$4,Parameters!$A$19:$A$24,1))</f>
        <v>8100</v>
      </c>
      <c r="L15" s="13" t="n">
        <f aca="false">$G15*INDEX(Parameters!$C$19:$C$24,MATCH(L$4,Parameters!$A$19:$A$24,1))</f>
        <v>9000</v>
      </c>
    </row>
    <row r="16" customFormat="false" ht="15" hidden="false" customHeight="false" outlineLevel="0" collapsed="false">
      <c r="A16" s="9" t="str">
        <f aca="false">'District Targets'!A15</f>
        <v>Ernakulam</v>
      </c>
      <c r="B16" s="17" t="str">
        <f aca="false">'District Targets'!C15</f>
        <v>Low</v>
      </c>
      <c r="C16" s="11" t="n">
        <f aca="false">'District Targets'!G15</f>
        <v>100000</v>
      </c>
      <c r="D16" s="12" t="n">
        <f aca="false">'District Targets'!H15</f>
        <v>294.117647058824</v>
      </c>
      <c r="E16" s="13" t="n">
        <f aca="false">C16*Parameters!$A$20</f>
        <v>80000</v>
      </c>
      <c r="F16" s="14" t="n">
        <f aca="false">D16*Parameters!$A$20</f>
        <v>235.294117647059</v>
      </c>
      <c r="G16" s="15" t="n">
        <f aca="false">C16*Parameters!$B$11</f>
        <v>3000</v>
      </c>
      <c r="H16" s="13" t="n">
        <f aca="false">$G16*INDEX(Parameters!$C$19:$C$24,MATCH(H$4,Parameters!$A$19:$A$24,1))</f>
        <v>1500</v>
      </c>
      <c r="I16" s="13" t="n">
        <f aca="false">$G16*INDEX(Parameters!$C$19:$C$24,MATCH(I$4,Parameters!$A$19:$A$24,1))</f>
        <v>1800</v>
      </c>
      <c r="J16" s="13" t="n">
        <f aca="false">$G16*INDEX(Parameters!$C$19:$C$24,MATCH(J$4,Parameters!$A$19:$A$24,1))</f>
        <v>2250</v>
      </c>
      <c r="K16" s="13" t="n">
        <f aca="false">$G16*INDEX(Parameters!$C$19:$C$24,MATCH(K$4,Parameters!$A$19:$A$24,1))</f>
        <v>2700</v>
      </c>
      <c r="L16" s="13" t="n">
        <f aca="false">$G16*INDEX(Parameters!$C$19:$C$24,MATCH(L$4,Parameters!$A$19:$A$24,1))</f>
        <v>3000</v>
      </c>
    </row>
    <row r="17" customFormat="false" ht="15" hidden="false" customHeight="false" outlineLevel="0" collapsed="false">
      <c r="A17" s="9" t="str">
        <f aca="false">'District Targets'!A16</f>
        <v>Pathanamthitta</v>
      </c>
      <c r="B17" s="17" t="str">
        <f aca="false">'District Targets'!C16</f>
        <v>Low</v>
      </c>
      <c r="C17" s="11" t="n">
        <f aca="false">'District Targets'!G16</f>
        <v>75000</v>
      </c>
      <c r="D17" s="12" t="n">
        <f aca="false">'District Targets'!H16</f>
        <v>220.588235294118</v>
      </c>
      <c r="E17" s="13" t="n">
        <f aca="false">C17*Parameters!$A$20</f>
        <v>60000</v>
      </c>
      <c r="F17" s="14" t="n">
        <f aca="false">D17*Parameters!$A$20</f>
        <v>176.470588235294</v>
      </c>
      <c r="G17" s="15" t="n">
        <f aca="false">C17*Parameters!$B$11</f>
        <v>2250</v>
      </c>
      <c r="H17" s="13" t="n">
        <f aca="false">$G17*INDEX(Parameters!$C$19:$C$24,MATCH(H$4,Parameters!$A$19:$A$24,1))</f>
        <v>1125</v>
      </c>
      <c r="I17" s="13" t="n">
        <f aca="false">$G17*INDEX(Parameters!$C$19:$C$24,MATCH(I$4,Parameters!$A$19:$A$24,1))</f>
        <v>1350</v>
      </c>
      <c r="J17" s="13" t="n">
        <f aca="false">$G17*INDEX(Parameters!$C$19:$C$24,MATCH(J$4,Parameters!$A$19:$A$24,1))</f>
        <v>1687.5</v>
      </c>
      <c r="K17" s="13" t="n">
        <f aca="false">$G17*INDEX(Parameters!$C$19:$C$24,MATCH(K$4,Parameters!$A$19:$A$24,1))</f>
        <v>2025</v>
      </c>
      <c r="L17" s="13" t="n">
        <f aca="false">$G17*INDEX(Parameters!$C$19:$C$24,MATCH(L$4,Parameters!$A$19:$A$24,1))</f>
        <v>2250</v>
      </c>
    </row>
    <row r="18" customFormat="false" ht="15" hidden="false" customHeight="false" outlineLevel="0" collapsed="false">
      <c r="A18" s="9" t="str">
        <f aca="false">'District Targets'!A17</f>
        <v>Kottayam</v>
      </c>
      <c r="B18" s="17" t="str">
        <f aca="false">'District Targets'!C17</f>
        <v>Low</v>
      </c>
      <c r="C18" s="11" t="n">
        <f aca="false">'District Targets'!G17</f>
        <v>75000</v>
      </c>
      <c r="D18" s="12" t="n">
        <f aca="false">'District Targets'!H17</f>
        <v>220.588235294118</v>
      </c>
      <c r="E18" s="13" t="n">
        <f aca="false">C18*Parameters!$A$20</f>
        <v>60000</v>
      </c>
      <c r="F18" s="14" t="n">
        <f aca="false">D18*Parameters!$A$20</f>
        <v>176.470588235294</v>
      </c>
      <c r="G18" s="15" t="n">
        <f aca="false">C18*Parameters!$B$11</f>
        <v>2250</v>
      </c>
      <c r="H18" s="13" t="n">
        <f aca="false">$G18*INDEX(Parameters!$C$19:$C$24,MATCH(H$4,Parameters!$A$19:$A$24,1))</f>
        <v>1125</v>
      </c>
      <c r="I18" s="13" t="n">
        <f aca="false">$G18*INDEX(Parameters!$C$19:$C$24,MATCH(I$4,Parameters!$A$19:$A$24,1))</f>
        <v>1350</v>
      </c>
      <c r="J18" s="13" t="n">
        <f aca="false">$G18*INDEX(Parameters!$C$19:$C$24,MATCH(J$4,Parameters!$A$19:$A$24,1))</f>
        <v>1687.5</v>
      </c>
      <c r="K18" s="13" t="n">
        <f aca="false">$G18*INDEX(Parameters!$C$19:$C$24,MATCH(K$4,Parameters!$A$19:$A$24,1))</f>
        <v>2025</v>
      </c>
      <c r="L18" s="13" t="n">
        <f aca="false">$G18*INDEX(Parameters!$C$19:$C$24,MATCH(L$4,Parameters!$A$19:$A$24,1))</f>
        <v>2250</v>
      </c>
    </row>
    <row r="19" customFormat="false" ht="15" hidden="false" customHeight="false" outlineLevel="0" collapsed="false">
      <c r="A19" s="9" t="str">
        <f aca="false">'District Targets'!A18</f>
        <v>Idukki</v>
      </c>
      <c r="B19" s="18" t="str">
        <f aca="false">'District Targets'!C18</f>
        <v>No sales</v>
      </c>
      <c r="C19" s="11" t="n">
        <f aca="false">'District Targets'!G18</f>
        <v>0</v>
      </c>
      <c r="D19" s="12" t="n">
        <f aca="false">'District Targets'!H18</f>
        <v>0</v>
      </c>
      <c r="E19" s="13" t="n">
        <f aca="false">C19*Parameters!$A$20</f>
        <v>0</v>
      </c>
      <c r="F19" s="14" t="n">
        <f aca="false">D19*Parameters!$A$20</f>
        <v>0</v>
      </c>
      <c r="G19" s="15" t="n">
        <f aca="false">C19*Parameters!$B$11</f>
        <v>0</v>
      </c>
      <c r="H19" s="13" t="n">
        <f aca="false">$G19*INDEX(Parameters!$C$19:$C$24,MATCH(H$4,Parameters!$A$19:$A$24,1))</f>
        <v>0</v>
      </c>
      <c r="I19" s="13" t="n">
        <f aca="false">$G19*INDEX(Parameters!$C$19:$C$24,MATCH(I$4,Parameters!$A$19:$A$24,1))</f>
        <v>0</v>
      </c>
      <c r="J19" s="13" t="n">
        <f aca="false">$G19*INDEX(Parameters!$C$19:$C$24,MATCH(J$4,Parameters!$A$19:$A$24,1))</f>
        <v>0</v>
      </c>
      <c r="K19" s="13" t="n">
        <f aca="false">$G19*INDEX(Parameters!$C$19:$C$24,MATCH(K$4,Parameters!$A$19:$A$24,1))</f>
        <v>0</v>
      </c>
      <c r="L19" s="13" t="n">
        <f aca="false">$G19*INDEX(Parameters!$C$19:$C$24,MATCH(L$4,Parameters!$A$19:$A$24,1))</f>
        <v>0</v>
      </c>
    </row>
    <row r="20" customFormat="false" ht="15" hidden="false" customHeight="false" outlineLevel="0" collapsed="false">
      <c r="A20" s="19" t="s">
        <v>32</v>
      </c>
      <c r="B20" s="20"/>
      <c r="C20" s="21" t="n">
        <f aca="false">SUM(C6:C19)</f>
        <v>5000000</v>
      </c>
      <c r="D20" s="22" t="n">
        <f aca="false">SUM(D6:D19)</f>
        <v>14705.8823529412</v>
      </c>
      <c r="E20" s="21" t="n">
        <f aca="false">SUM(E6:E19)</f>
        <v>4000000</v>
      </c>
      <c r="F20" s="22" t="n">
        <f aca="false">SUM(F6:F19)</f>
        <v>11764.7058823529</v>
      </c>
      <c r="G20" s="21" t="n">
        <f aca="false">SUM(G6:G19)</f>
        <v>150000</v>
      </c>
      <c r="H20" s="21" t="n">
        <f aca="false">SUM(H6:H19)</f>
        <v>75000</v>
      </c>
      <c r="I20" s="21" t="n">
        <f aca="false">SUM(I6:I19)</f>
        <v>90000</v>
      </c>
      <c r="J20" s="21" t="n">
        <f aca="false">SUM(J6:J19)</f>
        <v>112500</v>
      </c>
      <c r="K20" s="21" t="n">
        <f aca="false">SUM(K6:K19)</f>
        <v>135000</v>
      </c>
      <c r="L20" s="21" t="n">
        <f aca="false">SUM(L6:L19)</f>
        <v>150000</v>
      </c>
    </row>
    <row r="22" customFormat="false" ht="15" hidden="false" customHeight="false" outlineLevel="0" collapsed="false">
      <c r="A22" s="23" t="s">
        <v>33</v>
      </c>
    </row>
    <row r="23" customFormat="false" ht="21.75" hidden="false" customHeight="true" outlineLevel="0" collapsed="false">
      <c r="A23" s="8" t="s">
        <v>34</v>
      </c>
      <c r="B23" s="8" t="s">
        <v>35</v>
      </c>
      <c r="C23" s="8"/>
      <c r="D23" s="8"/>
      <c r="E23" s="8"/>
      <c r="F23" s="8"/>
      <c r="G23" s="8" t="s">
        <v>36</v>
      </c>
      <c r="H23" s="7" t="n">
        <f aca="false">H$4</f>
        <v>0.8</v>
      </c>
      <c r="I23" s="7" t="n">
        <f aca="false">I$4</f>
        <v>0.85</v>
      </c>
      <c r="J23" s="7" t="n">
        <f aca="false">J$4</f>
        <v>0.9</v>
      </c>
      <c r="K23" s="7" t="n">
        <f aca="false">K$4</f>
        <v>0.95</v>
      </c>
      <c r="L23" s="7" t="n">
        <f aca="false">L$4</f>
        <v>1</v>
      </c>
    </row>
    <row r="24" customFormat="false" ht="15" hidden="false" customHeight="false" outlineLevel="0" collapsed="false">
      <c r="A24" s="24" t="s">
        <v>37</v>
      </c>
      <c r="B24" s="25" t="s">
        <v>38</v>
      </c>
      <c r="C24" s="25"/>
      <c r="D24" s="25"/>
      <c r="E24" s="25"/>
      <c r="F24" s="25"/>
      <c r="G24" s="15" t="n">
        <f aca="false">G20</f>
        <v>150000</v>
      </c>
      <c r="H24" s="13" t="n">
        <f aca="false">$G24*INDEX(Parameters!$C$19:$C$24,MATCH(H$4,Parameters!$A$19:$A$24,1))</f>
        <v>75000</v>
      </c>
      <c r="I24" s="13" t="n">
        <f aca="false">$G24*INDEX(Parameters!$C$19:$C$24,MATCH(I$4,Parameters!$A$19:$A$24,1))</f>
        <v>90000</v>
      </c>
      <c r="J24" s="13" t="n">
        <f aca="false">$G24*INDEX(Parameters!$C$19:$C$24,MATCH(J$4,Parameters!$A$19:$A$24,1))</f>
        <v>112500</v>
      </c>
      <c r="K24" s="13" t="n">
        <f aca="false">$G24*INDEX(Parameters!$C$19:$C$24,MATCH(K$4,Parameters!$A$19:$A$24,1))</f>
        <v>135000</v>
      </c>
      <c r="L24" s="13" t="n">
        <f aca="false">$G24*INDEX(Parameters!$C$19:$C$24,MATCH(L$4,Parameters!$A$19:$A$24,1))</f>
        <v>150000</v>
      </c>
    </row>
    <row r="25" customFormat="false" ht="15" hidden="false" customHeight="false" outlineLevel="0" collapsed="false">
      <c r="A25" s="24" t="s">
        <v>39</v>
      </c>
      <c r="B25" s="25" t="s">
        <v>40</v>
      </c>
      <c r="C25" s="25"/>
      <c r="D25" s="25"/>
      <c r="E25" s="25"/>
      <c r="F25" s="25"/>
      <c r="G25" s="15" t="n">
        <f aca="false">Parameters!$B$5*Parameters!$B$12</f>
        <v>50000</v>
      </c>
      <c r="H25" s="13" t="n">
        <f aca="false">$G25*INDEX(Parameters!$C$19:$C$24,MATCH(H$4,Parameters!$A$19:$A$24,1))</f>
        <v>25000</v>
      </c>
      <c r="I25" s="13" t="n">
        <f aca="false">$G25*INDEX(Parameters!$C$19:$C$24,MATCH(I$4,Parameters!$A$19:$A$24,1))</f>
        <v>30000</v>
      </c>
      <c r="J25" s="13" t="n">
        <f aca="false">$G25*INDEX(Parameters!$C$19:$C$24,MATCH(J$4,Parameters!$A$19:$A$24,1))</f>
        <v>37500</v>
      </c>
      <c r="K25" s="13" t="n">
        <f aca="false">$G25*INDEX(Parameters!$C$19:$C$24,MATCH(K$4,Parameters!$A$19:$A$24,1))</f>
        <v>45000</v>
      </c>
      <c r="L25" s="13" t="n">
        <f aca="false">$G25*INDEX(Parameters!$C$19:$C$24,MATCH(L$4,Parameters!$A$19:$A$24,1))</f>
        <v>50000</v>
      </c>
    </row>
    <row r="26" customFormat="false" ht="15" hidden="false" customHeight="false" outlineLevel="0" collapsed="false">
      <c r="A26" s="24" t="s">
        <v>41</v>
      </c>
      <c r="B26" s="25" t="s">
        <v>42</v>
      </c>
      <c r="C26" s="25"/>
      <c r="D26" s="25"/>
      <c r="E26" s="25"/>
      <c r="F26" s="25"/>
      <c r="G26" s="15" t="n">
        <f aca="false">Parameters!$B$5*Parameters!$B$13</f>
        <v>25000</v>
      </c>
      <c r="H26" s="13" t="n">
        <f aca="false">$G26*INDEX(Parameters!$C$19:$C$24,MATCH(H$4,Parameters!$A$19:$A$24,1))</f>
        <v>12500</v>
      </c>
      <c r="I26" s="13" t="n">
        <f aca="false">$G26*INDEX(Parameters!$C$19:$C$24,MATCH(I$4,Parameters!$A$19:$A$24,1))</f>
        <v>15000</v>
      </c>
      <c r="J26" s="13" t="n">
        <f aca="false">$G26*INDEX(Parameters!$C$19:$C$24,MATCH(J$4,Parameters!$A$19:$A$24,1))</f>
        <v>18750</v>
      </c>
      <c r="K26" s="13" t="n">
        <f aca="false">$G26*INDEX(Parameters!$C$19:$C$24,MATCH(K$4,Parameters!$A$19:$A$24,1))</f>
        <v>22500</v>
      </c>
      <c r="L26" s="13" t="n">
        <f aca="false">$G26*INDEX(Parameters!$C$19:$C$24,MATCH(L$4,Parameters!$A$19:$A$24,1))</f>
        <v>25000</v>
      </c>
    </row>
    <row r="27" customFormat="false" ht="15" hidden="false" customHeight="false" outlineLevel="0" collapsed="false">
      <c r="A27" s="24" t="s">
        <v>43</v>
      </c>
      <c r="B27" s="25" t="s">
        <v>44</v>
      </c>
      <c r="C27" s="25"/>
      <c r="D27" s="25"/>
      <c r="E27" s="25"/>
      <c r="F27" s="25"/>
      <c r="G27" s="15" t="n">
        <f aca="false">Parameters!$B$5*Parameters!$B$14</f>
        <v>12500</v>
      </c>
      <c r="H27" s="13" t="n">
        <f aca="false">$G27*INDEX(Parameters!$C$19:$C$24,MATCH(H$4,Parameters!$A$19:$A$24,1))</f>
        <v>6250</v>
      </c>
      <c r="I27" s="13" t="n">
        <f aca="false">$G27*INDEX(Parameters!$C$19:$C$24,MATCH(I$4,Parameters!$A$19:$A$24,1))</f>
        <v>7500</v>
      </c>
      <c r="J27" s="13" t="n">
        <f aca="false">$G27*INDEX(Parameters!$C$19:$C$24,MATCH(J$4,Parameters!$A$19:$A$24,1))</f>
        <v>9375</v>
      </c>
      <c r="K27" s="13" t="n">
        <f aca="false">$G27*INDEX(Parameters!$C$19:$C$24,MATCH(K$4,Parameters!$A$19:$A$24,1))</f>
        <v>11250</v>
      </c>
      <c r="L27" s="13" t="n">
        <f aca="false">$G27*INDEX(Parameters!$C$19:$C$24,MATCH(L$4,Parameters!$A$19:$A$24,1))</f>
        <v>12500</v>
      </c>
    </row>
    <row r="28" customFormat="false" ht="15" hidden="false" customHeight="false" outlineLevel="0" collapsed="false">
      <c r="A28" s="19" t="s">
        <v>45</v>
      </c>
      <c r="B28" s="26"/>
      <c r="C28" s="26"/>
      <c r="D28" s="26"/>
      <c r="E28" s="26"/>
      <c r="F28" s="26"/>
      <c r="G28" s="21" t="n">
        <f aca="false">SUM(G24:G27)</f>
        <v>237500</v>
      </c>
      <c r="H28" s="21" t="n">
        <f aca="false">SUM(H24:H27)</f>
        <v>118750</v>
      </c>
      <c r="I28" s="21" t="n">
        <f aca="false">SUM(I24:I27)</f>
        <v>142500</v>
      </c>
      <c r="J28" s="21" t="n">
        <f aca="false">SUM(J24:J27)</f>
        <v>178125</v>
      </c>
      <c r="K28" s="21" t="n">
        <f aca="false">SUM(K24:K27)</f>
        <v>213750</v>
      </c>
      <c r="L28" s="21" t="n">
        <f aca="false">SUM(L24:L27)</f>
        <v>237500</v>
      </c>
    </row>
    <row r="29" customFormat="false" ht="15" hidden="false" customHeight="false" outlineLevel="0" collapsed="false">
      <c r="A29" s="24" t="s">
        <v>46</v>
      </c>
      <c r="B29" s="25"/>
      <c r="C29" s="25"/>
      <c r="D29" s="25"/>
      <c r="E29" s="25"/>
      <c r="F29" s="25"/>
      <c r="G29" s="13" t="n">
        <f aca="false">Parameters!$B$5</f>
        <v>5000000</v>
      </c>
      <c r="H29" s="13" t="n">
        <f aca="false">Parameters!$B$5*H$4</f>
        <v>4000000</v>
      </c>
      <c r="I29" s="13" t="n">
        <f aca="false">Parameters!$B$5*I$4</f>
        <v>4250000</v>
      </c>
      <c r="J29" s="13" t="n">
        <f aca="false">Parameters!$B$5*J$4</f>
        <v>4500000</v>
      </c>
      <c r="K29" s="13" t="n">
        <f aca="false">Parameters!$B$5*K$4</f>
        <v>4750000</v>
      </c>
      <c r="L29" s="13" t="n">
        <f aca="false">Parameters!$B$5*L$4</f>
        <v>5000000</v>
      </c>
    </row>
    <row r="30" customFormat="false" ht="15" hidden="false" customHeight="false" outlineLevel="0" collapsed="false">
      <c r="A30" s="24" t="s">
        <v>47</v>
      </c>
      <c r="B30" s="25"/>
      <c r="C30" s="25"/>
      <c r="D30" s="25"/>
      <c r="E30" s="25"/>
      <c r="F30" s="25"/>
      <c r="G30" s="27" t="n">
        <f aca="false">IFERROR(G28/G29,0)</f>
        <v>0.0475</v>
      </c>
      <c r="H30" s="27" t="n">
        <f aca="false">IFERROR(H28/H29,0)</f>
        <v>0.0296875</v>
      </c>
      <c r="I30" s="27" t="n">
        <f aca="false">IFERROR(I28/I29,0)</f>
        <v>0.0335294117647059</v>
      </c>
      <c r="J30" s="27" t="n">
        <f aca="false">IFERROR(J28/J29,0)</f>
        <v>0.0395833333333333</v>
      </c>
      <c r="K30" s="27" t="n">
        <f aca="false">IFERROR(K28/K29,0)</f>
        <v>0.045</v>
      </c>
      <c r="L30" s="27" t="n">
        <f aca="false">IFERROR(L28/L29,0)</f>
        <v>0.0475</v>
      </c>
    </row>
    <row r="31" customFormat="false" ht="15" hidden="false" customHeight="false" outlineLevel="0" collapsed="false">
      <c r="A31" s="24" t="s">
        <v>48</v>
      </c>
      <c r="B31" s="25"/>
      <c r="C31" s="25"/>
      <c r="D31" s="25"/>
      <c r="E31" s="25"/>
      <c r="F31" s="25"/>
      <c r="G31" s="14" t="n">
        <f aca="false">Parameters!$B$6</f>
        <v>14705.8823529412</v>
      </c>
      <c r="H31" s="14" t="n">
        <f aca="false">Parameters!$B$6*H$4</f>
        <v>11764.7058823529</v>
      </c>
      <c r="I31" s="14" t="n">
        <f aca="false">Parameters!$B$6*I$4</f>
        <v>12500</v>
      </c>
      <c r="J31" s="14" t="n">
        <f aca="false">Parameters!$B$6*J$4</f>
        <v>13235.2941176471</v>
      </c>
      <c r="K31" s="14" t="n">
        <f aca="false">Parameters!$B$6*K$4</f>
        <v>13970.5882352941</v>
      </c>
      <c r="L31" s="14" t="n">
        <f aca="false">Parameters!$B$6*L$4</f>
        <v>14705.8823529412</v>
      </c>
    </row>
    <row r="33" customFormat="false" ht="15" hidden="false" customHeight="false" outlineLevel="0" collapsed="false">
      <c r="A33" s="5" t="s">
        <v>49</v>
      </c>
    </row>
  </sheetData>
  <mergeCells count="8">
    <mergeCell ref="B24:F24"/>
    <mergeCell ref="B25:F25"/>
    <mergeCell ref="B26:F26"/>
    <mergeCell ref="B27:F27"/>
    <mergeCell ref="B28:F28"/>
    <mergeCell ref="B29:F29"/>
    <mergeCell ref="B30:F30"/>
    <mergeCell ref="B31:F3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00000"/>
    <pageSetUpPr fitToPage="false"/>
  </sheetPr>
  <dimension ref="A1:F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12"/>
    <col collapsed="false" customWidth="true" hidden="false" outlineLevel="0" max="4" min="3" style="0" width="16"/>
    <col collapsed="false" customWidth="true" hidden="false" outlineLevel="0" max="5" min="5" style="0" width="14"/>
    <col collapsed="false" customWidth="true" hidden="false" outlineLevel="0" max="6" min="6" style="0" width="16"/>
  </cols>
  <sheetData>
    <row r="1" customFormat="false" ht="17.35" hidden="false" customHeight="false" outlineLevel="0" collapsed="false">
      <c r="A1" s="1" t="s">
        <v>50</v>
      </c>
    </row>
    <row r="3" customFormat="false" ht="30" hidden="false" customHeight="true" outlineLevel="0" collapsed="false">
      <c r="A3" s="8" t="s">
        <v>34</v>
      </c>
      <c r="B3" s="8" t="s">
        <v>51</v>
      </c>
      <c r="C3" s="8" t="s">
        <v>36</v>
      </c>
      <c r="D3" s="8" t="s">
        <v>52</v>
      </c>
      <c r="E3" s="8" t="s">
        <v>53</v>
      </c>
      <c r="F3" s="8" t="s">
        <v>54</v>
      </c>
    </row>
    <row r="4" customFormat="false" ht="15" hidden="false" customHeight="false" outlineLevel="0" collapsed="false">
      <c r="A4" s="24" t="s">
        <v>55</v>
      </c>
      <c r="B4" s="28" t="n">
        <f aca="false">COUNTIF('TSO Incentive'!$G$5:$G$18,"&gt;0")</f>
        <v>13</v>
      </c>
      <c r="C4" s="11" t="n">
        <f aca="false">'TSO Incentive'!L19</f>
        <v>150000</v>
      </c>
      <c r="D4" s="11" t="n">
        <f aca="false">'TSO Incentive'!R19</f>
        <v>107550</v>
      </c>
      <c r="E4" s="28" t="n">
        <f aca="false">COUNTIF('TSO Incentive'!$R$5:$R$18,"&gt;0")</f>
        <v>11</v>
      </c>
      <c r="F4" s="13" t="n">
        <f aca="false">IFERROR(D4/B4,0)</f>
        <v>8273.07692307692</v>
      </c>
    </row>
    <row r="5" customFormat="false" ht="15" hidden="false" customHeight="false" outlineLevel="0" collapsed="false">
      <c r="A5" s="24" t="s">
        <v>56</v>
      </c>
      <c r="B5" s="28" t="n">
        <f aca="false">COUNTA('Coordinator Incentive'!B5:B9)</f>
        <v>5</v>
      </c>
      <c r="C5" s="11" t="n">
        <f aca="false">'Coordinator Incentive'!J10</f>
        <v>50000</v>
      </c>
      <c r="D5" s="11" t="n">
        <f aca="false">'Coordinator Incentive'!O10</f>
        <v>37000</v>
      </c>
      <c r="E5" s="28" t="n">
        <f aca="false">COUNTIF('Coordinator Incentive'!O5:O9,"&gt;0")</f>
        <v>5</v>
      </c>
      <c r="F5" s="13" t="n">
        <f aca="false">IFERROR(D5/B5,0)</f>
        <v>7400</v>
      </c>
    </row>
    <row r="6" customFormat="false" ht="15" hidden="false" customHeight="false" outlineLevel="0" collapsed="false">
      <c r="A6" s="24" t="s">
        <v>57</v>
      </c>
      <c r="B6" s="28" t="n">
        <f aca="false">COUNTA('ASM Incentive'!B5:B7)</f>
        <v>3</v>
      </c>
      <c r="C6" s="11" t="n">
        <f aca="false">'ASM Incentive'!J8</f>
        <v>25000</v>
      </c>
      <c r="D6" s="11" t="n">
        <f aca="false">'ASM Incentive'!O8</f>
        <v>19875</v>
      </c>
      <c r="E6" s="28" t="n">
        <f aca="false">COUNTIF('ASM Incentive'!O5:O7,"&gt;0")</f>
        <v>3</v>
      </c>
      <c r="F6" s="13" t="n">
        <f aca="false">IFERROR(D6/B6,0)</f>
        <v>6625</v>
      </c>
    </row>
    <row r="7" customFormat="false" ht="15" hidden="false" customHeight="false" outlineLevel="0" collapsed="false">
      <c r="A7" s="24" t="s">
        <v>58</v>
      </c>
      <c r="B7" s="28" t="n">
        <f aca="false">1</f>
        <v>1</v>
      </c>
      <c r="C7" s="11" t="n">
        <f aca="false">'RSM Incentive'!J6</f>
        <v>12500</v>
      </c>
      <c r="D7" s="11" t="n">
        <f aca="false">'RSM Incentive'!O6</f>
        <v>9375</v>
      </c>
      <c r="E7" s="28" t="n">
        <f aca="false">IF('RSM Incentive'!O6&gt;0,1,0)</f>
        <v>1</v>
      </c>
      <c r="F7" s="13" t="n">
        <f aca="false">IFERROR(D7/B7,0)</f>
        <v>9375</v>
      </c>
    </row>
    <row r="8" customFormat="false" ht="15" hidden="false" customHeight="false" outlineLevel="0" collapsed="false">
      <c r="A8" s="19" t="s">
        <v>59</v>
      </c>
      <c r="B8" s="29" t="n">
        <f aca="false">SUM(B4:B7)</f>
        <v>22</v>
      </c>
      <c r="C8" s="21" t="n">
        <f aca="false">SUM(C4:C7)</f>
        <v>237500</v>
      </c>
      <c r="D8" s="21" t="n">
        <f aca="false">SUM(D4:D7)</f>
        <v>173800</v>
      </c>
      <c r="E8" s="29" t="n">
        <f aca="false">SUM(E4:E7)</f>
        <v>20</v>
      </c>
      <c r="F8" s="20"/>
    </row>
    <row r="10" customFormat="false" ht="15" hidden="false" customHeight="false" outlineLevel="0" collapsed="false">
      <c r="A10" s="23" t="s">
        <v>60</v>
      </c>
    </row>
    <row r="11" customFormat="false" ht="15" hidden="false" customHeight="false" outlineLevel="0" collapsed="false">
      <c r="A11" s="24" t="s">
        <v>61</v>
      </c>
      <c r="B11" s="11" t="n">
        <f aca="false">Parameters!$B$5</f>
        <v>5000000</v>
      </c>
    </row>
    <row r="12" customFormat="false" ht="15" hidden="false" customHeight="false" outlineLevel="0" collapsed="false">
      <c r="A12" s="24" t="s">
        <v>62</v>
      </c>
      <c r="B12" s="11" t="n">
        <f aca="false">'TSO Incentive'!I19</f>
        <v>4664800</v>
      </c>
    </row>
    <row r="13" customFormat="false" ht="15" hidden="false" customHeight="false" outlineLevel="0" collapsed="false">
      <c r="A13" s="24" t="s">
        <v>28</v>
      </c>
      <c r="B13" s="12" t="n">
        <f aca="false">Parameters!$B$6</f>
        <v>14705.8823529412</v>
      </c>
    </row>
    <row r="14" customFormat="false" ht="15" hidden="false" customHeight="false" outlineLevel="0" collapsed="false">
      <c r="A14" s="24" t="s">
        <v>63</v>
      </c>
      <c r="B14" s="12" t="n">
        <f aca="false">'TSO Incentive'!H19</f>
        <v>13720</v>
      </c>
    </row>
    <row r="15" customFormat="false" ht="15" hidden="false" customHeight="false" outlineLevel="0" collapsed="false">
      <c r="A15" s="24" t="s">
        <v>64</v>
      </c>
      <c r="B15" s="27" t="n">
        <f aca="false">IFERROR(B12/B11,0)</f>
        <v>0.93296</v>
      </c>
    </row>
    <row r="16" customFormat="false" ht="15" hidden="false" customHeight="false" outlineLevel="0" collapsed="false">
      <c r="A16" s="24" t="s">
        <v>65</v>
      </c>
      <c r="B16" s="12" t="n">
        <f aca="false">'TSO Incentive'!N19</f>
        <v>218</v>
      </c>
    </row>
    <row r="17" customFormat="false" ht="15" hidden="false" customHeight="false" outlineLevel="0" collapsed="false">
      <c r="A17" s="24" t="s">
        <v>66</v>
      </c>
      <c r="B17" s="27" t="n">
        <f aca="false">IFERROR(D8/B12,0)</f>
        <v>0.0372577602469559</v>
      </c>
    </row>
    <row r="18" customFormat="false" ht="15" hidden="false" customHeight="false" outlineLevel="0" collapsed="false">
      <c r="A18" s="24" t="s">
        <v>67</v>
      </c>
      <c r="B18" s="30" t="n">
        <f aca="false">IFERROR(D8/B14,0)</f>
        <v>12.667638483965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D3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50"/>
  </cols>
  <sheetData>
    <row r="1" customFormat="false" ht="17.35" hidden="false" customHeight="false" outlineLevel="0" collapsed="false">
      <c r="A1" s="1" t="s">
        <v>68</v>
      </c>
    </row>
    <row r="3" customFormat="false" ht="15" hidden="false" customHeight="false" outlineLevel="0" collapsed="false">
      <c r="A3" s="31" t="s">
        <v>69</v>
      </c>
      <c r="B3" s="31" t="s">
        <v>70</v>
      </c>
      <c r="D3" s="31" t="s">
        <v>71</v>
      </c>
    </row>
    <row r="4" customFormat="false" ht="15" hidden="false" customHeight="false" outlineLevel="0" collapsed="false">
      <c r="A4" s="24" t="s">
        <v>72</v>
      </c>
      <c r="B4" s="32" t="n">
        <v>340</v>
      </c>
      <c r="D4" s="33" t="s">
        <v>73</v>
      </c>
    </row>
    <row r="5" customFormat="false" ht="15" hidden="false" customHeight="false" outlineLevel="0" collapsed="false">
      <c r="A5" s="24" t="s">
        <v>74</v>
      </c>
      <c r="B5" s="32" t="n">
        <v>5000000</v>
      </c>
      <c r="D5" s="33" t="s">
        <v>75</v>
      </c>
    </row>
    <row r="6" customFormat="false" ht="15" hidden="false" customHeight="false" outlineLevel="0" collapsed="false">
      <c r="A6" s="24" t="s">
        <v>76</v>
      </c>
      <c r="B6" s="14" t="n">
        <f aca="false">B5/B4</f>
        <v>14705.8823529412</v>
      </c>
      <c r="D6" s="33" t="s">
        <v>77</v>
      </c>
    </row>
    <row r="7" customFormat="false" ht="15" hidden="false" customHeight="false" outlineLevel="0" collapsed="false">
      <c r="A7" s="24" t="s">
        <v>78</v>
      </c>
      <c r="B7" s="34" t="n">
        <v>20</v>
      </c>
      <c r="D7" s="33" t="s">
        <v>79</v>
      </c>
    </row>
    <row r="8" customFormat="false" ht="15" hidden="false" customHeight="false" outlineLevel="0" collapsed="false">
      <c r="A8" s="24" t="s">
        <v>80</v>
      </c>
      <c r="B8" s="34" t="n">
        <v>10</v>
      </c>
      <c r="D8" s="33" t="s">
        <v>81</v>
      </c>
    </row>
    <row r="10" customFormat="false" ht="15" hidden="false" customHeight="false" outlineLevel="0" collapsed="false">
      <c r="A10" s="23" t="s">
        <v>82</v>
      </c>
    </row>
    <row r="11" customFormat="false" ht="15" hidden="false" customHeight="false" outlineLevel="0" collapsed="false">
      <c r="A11" s="24" t="s">
        <v>83</v>
      </c>
      <c r="B11" s="35" t="n">
        <v>0.03</v>
      </c>
      <c r="D11" s="33" t="s">
        <v>84</v>
      </c>
    </row>
    <row r="12" customFormat="false" ht="15" hidden="false" customHeight="false" outlineLevel="0" collapsed="false">
      <c r="A12" s="24" t="s">
        <v>85</v>
      </c>
      <c r="B12" s="35" t="n">
        <v>0.01</v>
      </c>
      <c r="D12" s="33"/>
    </row>
    <row r="13" customFormat="false" ht="15" hidden="false" customHeight="false" outlineLevel="0" collapsed="false">
      <c r="A13" s="24" t="s">
        <v>86</v>
      </c>
      <c r="B13" s="35" t="n">
        <v>0.005</v>
      </c>
      <c r="D13" s="33"/>
    </row>
    <row r="14" customFormat="false" ht="15" hidden="false" customHeight="false" outlineLevel="0" collapsed="false">
      <c r="A14" s="24" t="s">
        <v>87</v>
      </c>
      <c r="B14" s="35" t="n">
        <v>0.0025</v>
      </c>
      <c r="D14" s="33"/>
    </row>
    <row r="17" customFormat="false" ht="15" hidden="false" customHeight="false" outlineLevel="0" collapsed="false">
      <c r="A17" s="23" t="s">
        <v>88</v>
      </c>
    </row>
    <row r="18" customFormat="false" ht="15" hidden="false" customHeight="false" outlineLevel="0" collapsed="false">
      <c r="A18" s="31" t="s">
        <v>89</v>
      </c>
      <c r="B18" s="31" t="s">
        <v>90</v>
      </c>
      <c r="C18" s="31" t="s">
        <v>91</v>
      </c>
    </row>
    <row r="19" customFormat="false" ht="15" hidden="false" customHeight="false" outlineLevel="0" collapsed="false">
      <c r="A19" s="36" t="n">
        <v>0</v>
      </c>
      <c r="B19" s="37" t="s">
        <v>92</v>
      </c>
      <c r="C19" s="36" t="n">
        <v>0</v>
      </c>
    </row>
    <row r="20" customFormat="false" ht="15" hidden="false" customHeight="false" outlineLevel="0" collapsed="false">
      <c r="A20" s="36" t="n">
        <v>0.8</v>
      </c>
      <c r="B20" s="37" t="s">
        <v>93</v>
      </c>
      <c r="C20" s="36" t="n">
        <v>0.5</v>
      </c>
    </row>
    <row r="21" customFormat="false" ht="15" hidden="false" customHeight="false" outlineLevel="0" collapsed="false">
      <c r="A21" s="36" t="n">
        <v>0.85</v>
      </c>
      <c r="B21" s="37" t="s">
        <v>94</v>
      </c>
      <c r="C21" s="36" t="n">
        <v>0.6</v>
      </c>
    </row>
    <row r="22" customFormat="false" ht="15" hidden="false" customHeight="false" outlineLevel="0" collapsed="false">
      <c r="A22" s="36" t="n">
        <v>0.9</v>
      </c>
      <c r="B22" s="37" t="s">
        <v>95</v>
      </c>
      <c r="C22" s="36" t="n">
        <v>0.75</v>
      </c>
    </row>
    <row r="23" customFormat="false" ht="15" hidden="false" customHeight="false" outlineLevel="0" collapsed="false">
      <c r="A23" s="36" t="n">
        <v>0.95</v>
      </c>
      <c r="B23" s="37" t="s">
        <v>96</v>
      </c>
      <c r="C23" s="36" t="n">
        <v>0.9</v>
      </c>
    </row>
    <row r="24" customFormat="false" ht="15" hidden="false" customHeight="false" outlineLevel="0" collapsed="false">
      <c r="A24" s="36" t="n">
        <v>1</v>
      </c>
      <c r="B24" s="37" t="s">
        <v>97</v>
      </c>
      <c r="C24" s="36" t="n">
        <v>1</v>
      </c>
    </row>
    <row r="26" customFormat="false" ht="15" hidden="false" customHeight="false" outlineLevel="0" collapsed="false">
      <c r="A26" s="23" t="s">
        <v>98</v>
      </c>
    </row>
    <row r="27" customFormat="false" ht="15" hidden="false" customHeight="false" outlineLevel="0" collapsed="false">
      <c r="A27" s="31" t="s">
        <v>99</v>
      </c>
      <c r="B27" s="31" t="s">
        <v>90</v>
      </c>
      <c r="C27" s="31" t="s">
        <v>100</v>
      </c>
    </row>
    <row r="28" customFormat="false" ht="15" hidden="false" customHeight="false" outlineLevel="0" collapsed="false">
      <c r="A28" s="36" t="n">
        <v>0</v>
      </c>
      <c r="B28" s="37" t="s">
        <v>92</v>
      </c>
      <c r="C28" s="36" t="n">
        <v>0</v>
      </c>
    </row>
    <row r="29" customFormat="false" ht="15" hidden="false" customHeight="false" outlineLevel="0" collapsed="false">
      <c r="A29" s="36" t="n">
        <v>0.8</v>
      </c>
      <c r="B29" s="37" t="s">
        <v>101</v>
      </c>
      <c r="C29" s="36" t="n">
        <v>0.75</v>
      </c>
    </row>
    <row r="30" customFormat="false" ht="15" hidden="false" customHeight="false" outlineLevel="0" collapsed="false">
      <c r="A30" s="36" t="n">
        <v>0.9</v>
      </c>
      <c r="B30" s="37" t="s">
        <v>102</v>
      </c>
      <c r="C30" s="36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K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7"/>
    <col collapsed="false" customWidth="true" hidden="false" outlineLevel="0" max="3" min="3" style="0" width="10"/>
    <col collapsed="false" customWidth="true" hidden="false" outlineLevel="0" max="4" min="4" style="0" width="12"/>
    <col collapsed="false" customWidth="true" hidden="false" outlineLevel="0" max="6" min="5" style="0" width="9"/>
    <col collapsed="false" customWidth="true" hidden="false" outlineLevel="0" max="7" min="7" style="0" width="13"/>
    <col collapsed="false" customWidth="true" hidden="false" outlineLevel="0" max="9" min="8" style="0" width="11"/>
    <col collapsed="false" customWidth="true" hidden="false" outlineLevel="0" max="10" min="10" style="0" width="10"/>
    <col collapsed="false" customWidth="true" hidden="false" outlineLevel="0" max="11" min="11" style="0" width="9"/>
  </cols>
  <sheetData>
    <row r="1" customFormat="false" ht="17.35" hidden="false" customHeight="false" outlineLevel="0" collapsed="false">
      <c r="A1" s="1" t="s">
        <v>103</v>
      </c>
    </row>
    <row r="2" customFormat="false" ht="15" hidden="false" customHeight="false" outlineLevel="0" collapsed="false">
      <c r="A2" s="5" t="s">
        <v>104</v>
      </c>
    </row>
    <row r="4" customFormat="false" ht="39.75" hidden="false" customHeight="true" outlineLevel="0" collapsed="false">
      <c r="A4" s="8" t="s">
        <v>25</v>
      </c>
      <c r="B4" s="8" t="s">
        <v>105</v>
      </c>
      <c r="C4" s="8" t="s">
        <v>26</v>
      </c>
      <c r="D4" s="8" t="s">
        <v>56</v>
      </c>
      <c r="E4" s="8" t="s">
        <v>106</v>
      </c>
      <c r="F4" s="8" t="s">
        <v>107</v>
      </c>
      <c r="G4" s="8" t="s">
        <v>27</v>
      </c>
      <c r="H4" s="8" t="s">
        <v>28</v>
      </c>
      <c r="I4" s="8" t="s">
        <v>108</v>
      </c>
      <c r="J4" s="8" t="s">
        <v>109</v>
      </c>
      <c r="K4" s="8" t="s">
        <v>110</v>
      </c>
    </row>
    <row r="5" customFormat="false" ht="15" hidden="false" customHeight="false" outlineLevel="0" collapsed="false">
      <c r="A5" s="38" t="s">
        <v>111</v>
      </c>
      <c r="B5" s="38" t="s">
        <v>112</v>
      </c>
      <c r="C5" s="39" t="s">
        <v>113</v>
      </c>
      <c r="D5" s="38" t="s">
        <v>114</v>
      </c>
      <c r="E5" s="38" t="s">
        <v>115</v>
      </c>
      <c r="F5" s="40" t="n">
        <v>0.14</v>
      </c>
      <c r="G5" s="13" t="n">
        <f aca="false">F5*Parameters!$B$5</f>
        <v>700000</v>
      </c>
      <c r="H5" s="14" t="n">
        <f aca="false">G5/Parameters!$B$4</f>
        <v>2058.82352941177</v>
      </c>
      <c r="I5" s="14" t="n">
        <f aca="false">H5/3</f>
        <v>686.274509803922</v>
      </c>
      <c r="J5" s="14" t="n">
        <f aca="false">IFERROR(H5/K5,0)</f>
        <v>102.941176470588</v>
      </c>
      <c r="K5" s="12" t="n">
        <f aca="false">IF(G5&gt;0,Parameters!$B$7,0)</f>
        <v>20</v>
      </c>
    </row>
    <row r="6" customFormat="false" ht="15" hidden="false" customHeight="false" outlineLevel="0" collapsed="false">
      <c r="A6" s="38" t="s">
        <v>116</v>
      </c>
      <c r="B6" s="38" t="s">
        <v>117</v>
      </c>
      <c r="C6" s="39" t="s">
        <v>113</v>
      </c>
      <c r="D6" s="38" t="s">
        <v>114</v>
      </c>
      <c r="E6" s="38" t="s">
        <v>115</v>
      </c>
      <c r="F6" s="40" t="n">
        <v>0.14</v>
      </c>
      <c r="G6" s="13" t="n">
        <f aca="false">F6*Parameters!$B$5</f>
        <v>700000</v>
      </c>
      <c r="H6" s="14" t="n">
        <f aca="false">G6/Parameters!$B$4</f>
        <v>2058.82352941177</v>
      </c>
      <c r="I6" s="14" t="n">
        <f aca="false">H6/3</f>
        <v>686.274509803922</v>
      </c>
      <c r="J6" s="14" t="n">
        <f aca="false">IFERROR(H6/K6,0)</f>
        <v>102.941176470588</v>
      </c>
      <c r="K6" s="12" t="n">
        <f aca="false">IF(G6&gt;0,Parameters!$B$7,0)</f>
        <v>20</v>
      </c>
    </row>
    <row r="7" customFormat="false" ht="15" hidden="false" customHeight="false" outlineLevel="0" collapsed="false">
      <c r="A7" s="38" t="s">
        <v>118</v>
      </c>
      <c r="B7" s="38" t="s">
        <v>119</v>
      </c>
      <c r="C7" s="39" t="s">
        <v>113</v>
      </c>
      <c r="D7" s="38" t="s">
        <v>120</v>
      </c>
      <c r="E7" s="38" t="s">
        <v>115</v>
      </c>
      <c r="F7" s="40" t="n">
        <v>0.13</v>
      </c>
      <c r="G7" s="13" t="n">
        <f aca="false">F7*Parameters!$B$5</f>
        <v>650000</v>
      </c>
      <c r="H7" s="14" t="n">
        <f aca="false">G7/Parameters!$B$4</f>
        <v>1911.76470588235</v>
      </c>
      <c r="I7" s="14" t="n">
        <f aca="false">H7/3</f>
        <v>637.254901960784</v>
      </c>
      <c r="J7" s="14" t="n">
        <f aca="false">IFERROR(H7/K7,0)</f>
        <v>95.5882352941177</v>
      </c>
      <c r="K7" s="12" t="n">
        <f aca="false">IF(G7&gt;0,Parameters!$B$7,0)</f>
        <v>20</v>
      </c>
    </row>
    <row r="8" customFormat="false" ht="15" hidden="false" customHeight="false" outlineLevel="0" collapsed="false">
      <c r="A8" s="38" t="s">
        <v>121</v>
      </c>
      <c r="B8" s="38" t="s">
        <v>122</v>
      </c>
      <c r="C8" s="39" t="s">
        <v>113</v>
      </c>
      <c r="D8" s="38" t="s">
        <v>120</v>
      </c>
      <c r="E8" s="38" t="s">
        <v>115</v>
      </c>
      <c r="F8" s="40" t="n">
        <v>0.11</v>
      </c>
      <c r="G8" s="13" t="n">
        <f aca="false">F8*Parameters!$B$5</f>
        <v>550000</v>
      </c>
      <c r="H8" s="14" t="n">
        <f aca="false">G8/Parameters!$B$4</f>
        <v>1617.64705882353</v>
      </c>
      <c r="I8" s="14" t="n">
        <f aca="false">H8/3</f>
        <v>539.21568627451</v>
      </c>
      <c r="J8" s="14" t="n">
        <f aca="false">IFERROR(H8/K8,0)</f>
        <v>80.8823529411765</v>
      </c>
      <c r="K8" s="12" t="n">
        <f aca="false">IF(G8&gt;0,Parameters!$B$7,0)</f>
        <v>20</v>
      </c>
    </row>
    <row r="9" customFormat="false" ht="15" hidden="false" customHeight="false" outlineLevel="0" collapsed="false">
      <c r="A9" s="38" t="s">
        <v>123</v>
      </c>
      <c r="B9" s="38" t="s">
        <v>124</v>
      </c>
      <c r="C9" s="41" t="s">
        <v>125</v>
      </c>
      <c r="D9" s="38" t="s">
        <v>126</v>
      </c>
      <c r="E9" s="38" t="s">
        <v>127</v>
      </c>
      <c r="F9" s="40" t="n">
        <v>0.09</v>
      </c>
      <c r="G9" s="13" t="n">
        <f aca="false">F9*Parameters!$B$5</f>
        <v>450000</v>
      </c>
      <c r="H9" s="14" t="n">
        <f aca="false">G9/Parameters!$B$4</f>
        <v>1323.52941176471</v>
      </c>
      <c r="I9" s="14" t="n">
        <f aca="false">H9/3</f>
        <v>441.176470588235</v>
      </c>
      <c r="J9" s="14" t="n">
        <f aca="false">IFERROR(H9/K9,0)</f>
        <v>66.1764705882353</v>
      </c>
      <c r="K9" s="12" t="n">
        <f aca="false">IF(G9&gt;0,Parameters!$B$7,0)</f>
        <v>20</v>
      </c>
    </row>
    <row r="10" customFormat="false" ht="15" hidden="false" customHeight="false" outlineLevel="0" collapsed="false">
      <c r="A10" s="38" t="s">
        <v>128</v>
      </c>
      <c r="B10" s="38" t="s">
        <v>129</v>
      </c>
      <c r="C10" s="41" t="s">
        <v>125</v>
      </c>
      <c r="D10" s="38" t="s">
        <v>130</v>
      </c>
      <c r="E10" s="38" t="s">
        <v>131</v>
      </c>
      <c r="F10" s="40" t="n">
        <v>0.08</v>
      </c>
      <c r="G10" s="13" t="n">
        <f aca="false">F10*Parameters!$B$5</f>
        <v>400000</v>
      </c>
      <c r="H10" s="14" t="n">
        <f aca="false">G10/Parameters!$B$4</f>
        <v>1176.47058823529</v>
      </c>
      <c r="I10" s="14" t="n">
        <f aca="false">H10/3</f>
        <v>392.156862745098</v>
      </c>
      <c r="J10" s="14" t="n">
        <f aca="false">IFERROR(H10/K10,0)</f>
        <v>58.8235294117647</v>
      </c>
      <c r="K10" s="12" t="n">
        <f aca="false">IF(G10&gt;0,Parameters!$B$7,0)</f>
        <v>20</v>
      </c>
    </row>
    <row r="11" customFormat="false" ht="15" hidden="false" customHeight="false" outlineLevel="0" collapsed="false">
      <c r="A11" s="38" t="s">
        <v>132</v>
      </c>
      <c r="B11" s="38" t="s">
        <v>133</v>
      </c>
      <c r="C11" s="41" t="s">
        <v>125</v>
      </c>
      <c r="D11" s="38" t="s">
        <v>126</v>
      </c>
      <c r="E11" s="38" t="s">
        <v>127</v>
      </c>
      <c r="F11" s="40" t="n">
        <v>0.07</v>
      </c>
      <c r="G11" s="13" t="n">
        <f aca="false">F11*Parameters!$B$5</f>
        <v>350000</v>
      </c>
      <c r="H11" s="14" t="n">
        <f aca="false">G11/Parameters!$B$4</f>
        <v>1029.41176470588</v>
      </c>
      <c r="I11" s="14" t="n">
        <f aca="false">H11/3</f>
        <v>343.137254901961</v>
      </c>
      <c r="J11" s="14" t="n">
        <f aca="false">IFERROR(H11/K11,0)</f>
        <v>51.4705882352941</v>
      </c>
      <c r="K11" s="12" t="n">
        <f aca="false">IF(G11&gt;0,Parameters!$B$7,0)</f>
        <v>20</v>
      </c>
    </row>
    <row r="12" customFormat="false" ht="15" hidden="false" customHeight="false" outlineLevel="0" collapsed="false">
      <c r="A12" s="38" t="s">
        <v>134</v>
      </c>
      <c r="B12" s="38" t="s">
        <v>135</v>
      </c>
      <c r="C12" s="41" t="s">
        <v>125</v>
      </c>
      <c r="D12" s="38" t="s">
        <v>114</v>
      </c>
      <c r="E12" s="38" t="s">
        <v>115</v>
      </c>
      <c r="F12" s="40" t="n">
        <v>0.07</v>
      </c>
      <c r="G12" s="13" t="n">
        <f aca="false">F12*Parameters!$B$5</f>
        <v>350000</v>
      </c>
      <c r="H12" s="14" t="n">
        <f aca="false">G12/Parameters!$B$4</f>
        <v>1029.41176470588</v>
      </c>
      <c r="I12" s="14" t="n">
        <f aca="false">H12/3</f>
        <v>343.137254901961</v>
      </c>
      <c r="J12" s="14" t="n">
        <f aca="false">IFERROR(H12/K12,0)</f>
        <v>51.4705882352941</v>
      </c>
      <c r="K12" s="12" t="n">
        <f aca="false">IF(G12&gt;0,Parameters!$B$7,0)</f>
        <v>20</v>
      </c>
    </row>
    <row r="13" customFormat="false" ht="15" hidden="false" customHeight="false" outlineLevel="0" collapsed="false">
      <c r="A13" s="38" t="s">
        <v>136</v>
      </c>
      <c r="B13" s="38" t="s">
        <v>137</v>
      </c>
      <c r="C13" s="41" t="s">
        <v>125</v>
      </c>
      <c r="D13" s="38" t="s">
        <v>138</v>
      </c>
      <c r="E13" s="38" t="s">
        <v>127</v>
      </c>
      <c r="F13" s="40" t="n">
        <v>0.06</v>
      </c>
      <c r="G13" s="13" t="n">
        <f aca="false">F13*Parameters!$B$5</f>
        <v>300000</v>
      </c>
      <c r="H13" s="14" t="n">
        <f aca="false">G13/Parameters!$B$4</f>
        <v>882.352941176471</v>
      </c>
      <c r="I13" s="14" t="n">
        <f aca="false">H13/3</f>
        <v>294.117647058824</v>
      </c>
      <c r="J13" s="14" t="n">
        <f aca="false">IFERROR(H13/K13,0)</f>
        <v>44.1176470588235</v>
      </c>
      <c r="K13" s="12" t="n">
        <f aca="false">IF(G13&gt;0,Parameters!$B$7,0)</f>
        <v>20</v>
      </c>
    </row>
    <row r="14" customFormat="false" ht="15" hidden="false" customHeight="false" outlineLevel="0" collapsed="false">
      <c r="A14" s="38" t="s">
        <v>139</v>
      </c>
      <c r="B14" s="38" t="s">
        <v>140</v>
      </c>
      <c r="C14" s="41" t="s">
        <v>125</v>
      </c>
      <c r="D14" s="38" t="s">
        <v>120</v>
      </c>
      <c r="E14" s="38" t="s">
        <v>115</v>
      </c>
      <c r="F14" s="40" t="n">
        <v>0.06</v>
      </c>
      <c r="G14" s="13" t="n">
        <f aca="false">F14*Parameters!$B$5</f>
        <v>300000</v>
      </c>
      <c r="H14" s="14" t="n">
        <f aca="false">G14/Parameters!$B$4</f>
        <v>882.352941176471</v>
      </c>
      <c r="I14" s="14" t="n">
        <f aca="false">H14/3</f>
        <v>294.117647058824</v>
      </c>
      <c r="J14" s="14" t="n">
        <f aca="false">IFERROR(H14/K14,0)</f>
        <v>44.1176470588235</v>
      </c>
      <c r="K14" s="12" t="n">
        <f aca="false">IF(G14&gt;0,Parameters!$B$7,0)</f>
        <v>20</v>
      </c>
    </row>
    <row r="15" customFormat="false" ht="15" hidden="false" customHeight="false" outlineLevel="0" collapsed="false">
      <c r="A15" s="38" t="s">
        <v>141</v>
      </c>
      <c r="B15" s="38" t="s">
        <v>142</v>
      </c>
      <c r="C15" s="42" t="s">
        <v>143</v>
      </c>
      <c r="D15" s="38" t="s">
        <v>130</v>
      </c>
      <c r="E15" s="38" t="s">
        <v>131</v>
      </c>
      <c r="F15" s="40" t="n">
        <v>0.02</v>
      </c>
      <c r="G15" s="13" t="n">
        <f aca="false">F15*Parameters!$B$5</f>
        <v>100000</v>
      </c>
      <c r="H15" s="14" t="n">
        <f aca="false">G15/Parameters!$B$4</f>
        <v>294.117647058824</v>
      </c>
      <c r="I15" s="14" t="n">
        <f aca="false">H15/3</f>
        <v>98.0392156862745</v>
      </c>
      <c r="J15" s="14" t="n">
        <f aca="false">IFERROR(H15/K15,0)</f>
        <v>14.7058823529412</v>
      </c>
      <c r="K15" s="12" t="n">
        <f aca="false">IF(G15&gt;0,Parameters!$B$7,0)</f>
        <v>20</v>
      </c>
    </row>
    <row r="16" customFormat="false" ht="15" hidden="false" customHeight="false" outlineLevel="0" collapsed="false">
      <c r="A16" s="38" t="s">
        <v>144</v>
      </c>
      <c r="B16" s="38" t="s">
        <v>145</v>
      </c>
      <c r="C16" s="42" t="s">
        <v>143</v>
      </c>
      <c r="D16" s="38" t="s">
        <v>126</v>
      </c>
      <c r="E16" s="38" t="s">
        <v>127</v>
      </c>
      <c r="F16" s="40" t="n">
        <v>0.015</v>
      </c>
      <c r="G16" s="13" t="n">
        <f aca="false">F16*Parameters!$B$5</f>
        <v>75000</v>
      </c>
      <c r="H16" s="14" t="n">
        <f aca="false">G16/Parameters!$B$4</f>
        <v>220.588235294118</v>
      </c>
      <c r="I16" s="14" t="n">
        <f aca="false">H16/3</f>
        <v>73.5294117647059</v>
      </c>
      <c r="J16" s="14" t="n">
        <f aca="false">IFERROR(H16/K16,0)</f>
        <v>11.0294117647059</v>
      </c>
      <c r="K16" s="12" t="n">
        <f aca="false">IF(G16&gt;0,Parameters!$B$7,0)</f>
        <v>20</v>
      </c>
    </row>
    <row r="17" customFormat="false" ht="15" hidden="false" customHeight="false" outlineLevel="0" collapsed="false">
      <c r="A17" s="38" t="s">
        <v>146</v>
      </c>
      <c r="B17" s="38" t="s">
        <v>147</v>
      </c>
      <c r="C17" s="42" t="s">
        <v>143</v>
      </c>
      <c r="D17" s="38" t="s">
        <v>138</v>
      </c>
      <c r="E17" s="38" t="s">
        <v>131</v>
      </c>
      <c r="F17" s="40" t="n">
        <v>0.015</v>
      </c>
      <c r="G17" s="13" t="n">
        <f aca="false">F17*Parameters!$B$5</f>
        <v>75000</v>
      </c>
      <c r="H17" s="14" t="n">
        <f aca="false">G17/Parameters!$B$4</f>
        <v>220.588235294118</v>
      </c>
      <c r="I17" s="14" t="n">
        <f aca="false">H17/3</f>
        <v>73.5294117647059</v>
      </c>
      <c r="J17" s="14" t="n">
        <f aca="false">IFERROR(H17/K17,0)</f>
        <v>11.0294117647059</v>
      </c>
      <c r="K17" s="12" t="n">
        <f aca="false">IF(G17&gt;0,Parameters!$B$7,0)</f>
        <v>20</v>
      </c>
    </row>
    <row r="18" customFormat="false" ht="15" hidden="false" customHeight="false" outlineLevel="0" collapsed="false">
      <c r="A18" s="38" t="s">
        <v>148</v>
      </c>
      <c r="B18" s="38" t="s">
        <v>149</v>
      </c>
      <c r="C18" s="43" t="s">
        <v>150</v>
      </c>
      <c r="D18" s="38" t="s">
        <v>138</v>
      </c>
      <c r="E18" s="38" t="s">
        <v>131</v>
      </c>
      <c r="F18" s="40" t="n">
        <v>0</v>
      </c>
      <c r="G18" s="13" t="n">
        <f aca="false">F18*Parameters!$B$5</f>
        <v>0</v>
      </c>
      <c r="H18" s="14" t="n">
        <f aca="false">G18/Parameters!$B$4</f>
        <v>0</v>
      </c>
      <c r="I18" s="14" t="n">
        <f aca="false">H18/3</f>
        <v>0</v>
      </c>
      <c r="J18" s="14" t="n">
        <f aca="false">IFERROR(H18/K18,0)</f>
        <v>0</v>
      </c>
      <c r="K18" s="12" t="n">
        <f aca="false">IF(G18&gt;0,Parameters!$B$7,0)</f>
        <v>0</v>
      </c>
    </row>
    <row r="19" customFormat="false" ht="15" hidden="false" customHeight="false" outlineLevel="0" collapsed="false">
      <c r="A19" s="19" t="s">
        <v>151</v>
      </c>
      <c r="B19" s="20"/>
      <c r="C19" s="20"/>
      <c r="D19" s="20"/>
      <c r="E19" s="20"/>
      <c r="F19" s="44" t="n">
        <f aca="false">SUM(F5:F18)</f>
        <v>1</v>
      </c>
      <c r="G19" s="21" t="n">
        <f aca="false">SUM(G5:G18)</f>
        <v>5000000</v>
      </c>
      <c r="H19" s="22" t="n">
        <f aca="false">SUM(H5:H18)</f>
        <v>14705.8823529412</v>
      </c>
      <c r="I19" s="22" t="n">
        <f aca="false">SUM(I5:I18)</f>
        <v>4901.96078431373</v>
      </c>
      <c r="J19" s="22" t="n">
        <f aca="false">IFERROR(H19/K19,0)</f>
        <v>56.5610859728507</v>
      </c>
      <c r="K19" s="22" t="n">
        <f aca="false">SUM(K5:K18)</f>
        <v>260</v>
      </c>
    </row>
    <row r="20" customFormat="false" ht="15" hidden="false" customHeight="false" outlineLevel="0" collapsed="false">
      <c r="A20" s="23" t="str">
        <f aca="false">IF(ROUND(F19,4)=1,"✔ Shares add to 100%","⚠ Shares add to "&amp;TEXT(F19,"0.0%")&amp;" – fix to 100%")</f>
        <v>✔ Shares add to 100%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R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8"/>
    <col collapsed="false" customWidth="true" hidden="false" outlineLevel="0" max="6" min="6" style="0" width="9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9" min="9" style="0" width="12"/>
    <col collapsed="false" customWidth="true" hidden="false" outlineLevel="0" max="10" min="10" style="0" width="8"/>
    <col collapsed="false" customWidth="true" hidden="false" outlineLevel="0" max="11" min="11" style="0" width="7"/>
    <col collapsed="false" customWidth="true" hidden="false" outlineLevel="0" max="13" min="12" style="0" width="11"/>
    <col collapsed="false" customWidth="true" hidden="false" outlineLevel="0" max="14" min="14" style="0" width="8"/>
    <col collapsed="false" customWidth="true" hidden="false" outlineLevel="0" max="16" min="15" style="0" width="9"/>
    <col collapsed="false" customWidth="true" hidden="false" outlineLevel="0" max="17" min="17" style="0" width="8"/>
    <col collapsed="false" customWidth="true" hidden="false" outlineLevel="0" max="18" min="18" style="0" width="13"/>
  </cols>
  <sheetData>
    <row r="1" customFormat="false" ht="17.35" hidden="false" customHeight="false" outlineLevel="0" collapsed="false">
      <c r="A1" s="1" t="s">
        <v>152</v>
      </c>
    </row>
    <row r="2" customFormat="false" ht="15" hidden="false" customHeight="false" outlineLevel="0" collapsed="false">
      <c r="A2" s="5" t="s">
        <v>153</v>
      </c>
    </row>
    <row r="4" customFormat="false" ht="39.75" hidden="false" customHeight="true" outlineLevel="0" collapsed="false">
      <c r="A4" s="8" t="s">
        <v>154</v>
      </c>
      <c r="B4" s="8" t="s">
        <v>25</v>
      </c>
      <c r="C4" s="8" t="s">
        <v>26</v>
      </c>
      <c r="D4" s="8" t="s">
        <v>56</v>
      </c>
      <c r="E4" s="8" t="s">
        <v>106</v>
      </c>
      <c r="F4" s="8" t="s">
        <v>28</v>
      </c>
      <c r="G4" s="8" t="s">
        <v>27</v>
      </c>
      <c r="H4" s="8" t="s">
        <v>155</v>
      </c>
      <c r="I4" s="8" t="s">
        <v>156</v>
      </c>
      <c r="J4" s="8" t="s">
        <v>157</v>
      </c>
      <c r="K4" s="8" t="s">
        <v>158</v>
      </c>
      <c r="L4" s="8" t="s">
        <v>159</v>
      </c>
      <c r="M4" s="8" t="s">
        <v>160</v>
      </c>
      <c r="N4" s="8" t="s">
        <v>161</v>
      </c>
      <c r="O4" s="8" t="s">
        <v>162</v>
      </c>
      <c r="P4" s="8" t="s">
        <v>163</v>
      </c>
      <c r="Q4" s="8" t="s">
        <v>164</v>
      </c>
      <c r="R4" s="8" t="s">
        <v>165</v>
      </c>
    </row>
    <row r="5" customFormat="false" ht="15" hidden="false" customHeight="false" outlineLevel="0" collapsed="false">
      <c r="A5" s="37" t="n">
        <v>1</v>
      </c>
      <c r="B5" s="9" t="str">
        <f aca="false">'District Targets'!A5</f>
        <v>Kozhikode</v>
      </c>
      <c r="C5" s="10" t="str">
        <f aca="false">'District Targets'!C5</f>
        <v>High</v>
      </c>
      <c r="D5" s="9" t="str">
        <f aca="false">'District Targets'!D5</f>
        <v>Coord-4</v>
      </c>
      <c r="E5" s="9" t="str">
        <f aca="false">'District Targets'!E5</f>
        <v>North</v>
      </c>
      <c r="F5" s="12" t="n">
        <f aca="false">'District Targets'!H5</f>
        <v>2058.82352941177</v>
      </c>
      <c r="G5" s="11" t="n">
        <f aca="false">'District Targets'!G5</f>
        <v>700000</v>
      </c>
      <c r="H5" s="45" t="n">
        <v>2140</v>
      </c>
      <c r="I5" s="13" t="n">
        <f aca="false">H5*Parameters!$B$4</f>
        <v>727600</v>
      </c>
      <c r="J5" s="27" t="n">
        <f aca="false">IFERROR(H5/F5,0)</f>
        <v>1.03942857142857</v>
      </c>
      <c r="K5" s="46" t="n">
        <f aca="false">INDEX(Parameters!$C$19:$C$24,MATCH(J5,Parameters!$A$19:$A$24,1))</f>
        <v>1</v>
      </c>
      <c r="L5" s="13" t="n">
        <f aca="false">G5*Parameters!$B$11</f>
        <v>21000</v>
      </c>
      <c r="M5" s="13" t="n">
        <f aca="false">L5*K5</f>
        <v>21000</v>
      </c>
      <c r="N5" s="45" t="n">
        <v>22</v>
      </c>
      <c r="O5" s="37" t="str">
        <f aca="false">IF(N5&gt;=Parameters!$B$8,"Met","Not met")</f>
        <v>Met</v>
      </c>
      <c r="P5" s="47" t="n">
        <v>0.94</v>
      </c>
      <c r="Q5" s="46" t="n">
        <f aca="false">INDEX(Parameters!$C$28:$C$30,MATCH(P5,Parameters!$A$28:$A$30,1))</f>
        <v>1</v>
      </c>
      <c r="R5" s="15" t="n">
        <f aca="false">IF(OR(G5=0,O5="Not met"),0,M5*Q5)</f>
        <v>21000</v>
      </c>
    </row>
    <row r="6" customFormat="false" ht="15" hidden="false" customHeight="false" outlineLevel="0" collapsed="false">
      <c r="A6" s="37" t="n">
        <v>2</v>
      </c>
      <c r="B6" s="9" t="str">
        <f aca="false">'District Targets'!A6</f>
        <v>Malappuram</v>
      </c>
      <c r="C6" s="10" t="str">
        <f aca="false">'District Targets'!C6</f>
        <v>High</v>
      </c>
      <c r="D6" s="9" t="str">
        <f aca="false">'District Targets'!D6</f>
        <v>Coord-4</v>
      </c>
      <c r="E6" s="9" t="str">
        <f aca="false">'District Targets'!E6</f>
        <v>North</v>
      </c>
      <c r="F6" s="12" t="n">
        <f aca="false">'District Targets'!H6</f>
        <v>2058.82352941177</v>
      </c>
      <c r="G6" s="11" t="n">
        <f aca="false">'District Targets'!G6</f>
        <v>700000</v>
      </c>
      <c r="H6" s="45" t="n">
        <v>1980</v>
      </c>
      <c r="I6" s="13" t="n">
        <f aca="false">H6*Parameters!$B$4</f>
        <v>673200</v>
      </c>
      <c r="J6" s="27" t="n">
        <f aca="false">IFERROR(H6/F6,0)</f>
        <v>0.961714285714286</v>
      </c>
      <c r="K6" s="46" t="n">
        <f aca="false">INDEX(Parameters!$C$19:$C$24,MATCH(J6,Parameters!$A$19:$A$24,1))</f>
        <v>0.9</v>
      </c>
      <c r="L6" s="13" t="n">
        <f aca="false">G6*Parameters!$B$11</f>
        <v>21000</v>
      </c>
      <c r="M6" s="13" t="n">
        <f aca="false">L6*K6</f>
        <v>18900</v>
      </c>
      <c r="N6" s="45" t="n">
        <v>21</v>
      </c>
      <c r="O6" s="37" t="str">
        <f aca="false">IF(N6&gt;=Parameters!$B$8,"Met","Not met")</f>
        <v>Met</v>
      </c>
      <c r="P6" s="47" t="n">
        <v>0.92</v>
      </c>
      <c r="Q6" s="46" t="n">
        <f aca="false">INDEX(Parameters!$C$28:$C$30,MATCH(P6,Parameters!$A$28:$A$30,1))</f>
        <v>1</v>
      </c>
      <c r="R6" s="15" t="n">
        <f aca="false">IF(OR(G6=0,O6="Not met"),0,M6*Q6)</f>
        <v>18900</v>
      </c>
    </row>
    <row r="7" customFormat="false" ht="15" hidden="false" customHeight="false" outlineLevel="0" collapsed="false">
      <c r="A7" s="37" t="n">
        <v>3</v>
      </c>
      <c r="B7" s="9" t="str">
        <f aca="false">'District Targets'!A7</f>
        <v>Kannur</v>
      </c>
      <c r="C7" s="10" t="str">
        <f aca="false">'District Targets'!C7</f>
        <v>High</v>
      </c>
      <c r="D7" s="9" t="str">
        <f aca="false">'District Targets'!D7</f>
        <v>Coord-5</v>
      </c>
      <c r="E7" s="9" t="str">
        <f aca="false">'District Targets'!E7</f>
        <v>North</v>
      </c>
      <c r="F7" s="12" t="n">
        <f aca="false">'District Targets'!H7</f>
        <v>1911.76470588235</v>
      </c>
      <c r="G7" s="11" t="n">
        <f aca="false">'District Targets'!G7</f>
        <v>650000</v>
      </c>
      <c r="H7" s="45" t="n">
        <v>2060</v>
      </c>
      <c r="I7" s="13" t="n">
        <f aca="false">H7*Parameters!$B$4</f>
        <v>700400</v>
      </c>
      <c r="J7" s="27" t="n">
        <f aca="false">IFERROR(H7/F7,0)</f>
        <v>1.07753846153846</v>
      </c>
      <c r="K7" s="46" t="n">
        <f aca="false">INDEX(Parameters!$C$19:$C$24,MATCH(J7,Parameters!$A$19:$A$24,1))</f>
        <v>1</v>
      </c>
      <c r="L7" s="13" t="n">
        <f aca="false">G7*Parameters!$B$11</f>
        <v>19500</v>
      </c>
      <c r="M7" s="13" t="n">
        <f aca="false">L7*K7</f>
        <v>19500</v>
      </c>
      <c r="N7" s="45" t="n">
        <v>23</v>
      </c>
      <c r="O7" s="37" t="str">
        <f aca="false">IF(N7&gt;=Parameters!$B$8,"Met","Not met")</f>
        <v>Met</v>
      </c>
      <c r="P7" s="47" t="n">
        <v>0.93</v>
      </c>
      <c r="Q7" s="46" t="n">
        <f aca="false">INDEX(Parameters!$C$28:$C$30,MATCH(P7,Parameters!$A$28:$A$30,1))</f>
        <v>1</v>
      </c>
      <c r="R7" s="15" t="n">
        <f aca="false">IF(OR(G7=0,O7="Not met"),0,M7*Q7)</f>
        <v>19500</v>
      </c>
    </row>
    <row r="8" customFormat="false" ht="15" hidden="false" customHeight="false" outlineLevel="0" collapsed="false">
      <c r="A8" s="37" t="n">
        <v>4</v>
      </c>
      <c r="B8" s="9" t="str">
        <f aca="false">'District Targets'!A8</f>
        <v>Wayanad</v>
      </c>
      <c r="C8" s="10" t="str">
        <f aca="false">'District Targets'!C8</f>
        <v>High</v>
      </c>
      <c r="D8" s="9" t="str">
        <f aca="false">'District Targets'!D8</f>
        <v>Coord-5</v>
      </c>
      <c r="E8" s="9" t="str">
        <f aca="false">'District Targets'!E8</f>
        <v>North</v>
      </c>
      <c r="F8" s="12" t="n">
        <f aca="false">'District Targets'!H8</f>
        <v>1617.64705882353</v>
      </c>
      <c r="G8" s="11" t="n">
        <f aca="false">'District Targets'!G8</f>
        <v>550000</v>
      </c>
      <c r="H8" s="45" t="n">
        <v>1420</v>
      </c>
      <c r="I8" s="13" t="n">
        <f aca="false">H8*Parameters!$B$4</f>
        <v>482800</v>
      </c>
      <c r="J8" s="27" t="n">
        <f aca="false">IFERROR(H8/F8,0)</f>
        <v>0.877818181818182</v>
      </c>
      <c r="K8" s="46" t="n">
        <f aca="false">INDEX(Parameters!$C$19:$C$24,MATCH(J8,Parameters!$A$19:$A$24,1))</f>
        <v>0.6</v>
      </c>
      <c r="L8" s="13" t="n">
        <f aca="false">G8*Parameters!$B$11</f>
        <v>16500</v>
      </c>
      <c r="M8" s="13" t="n">
        <f aca="false">L8*K8</f>
        <v>9900</v>
      </c>
      <c r="N8" s="45" t="n">
        <v>18</v>
      </c>
      <c r="O8" s="37" t="str">
        <f aca="false">IF(N8&gt;=Parameters!$B$8,"Met","Not met")</f>
        <v>Met</v>
      </c>
      <c r="P8" s="47" t="n">
        <v>0.91</v>
      </c>
      <c r="Q8" s="46" t="n">
        <f aca="false">INDEX(Parameters!$C$28:$C$30,MATCH(P8,Parameters!$A$28:$A$30,1))</f>
        <v>1</v>
      </c>
      <c r="R8" s="15" t="n">
        <f aca="false">IF(OR(G8=0,O8="Not met"),0,M8*Q8)</f>
        <v>9900</v>
      </c>
    </row>
    <row r="9" customFormat="false" ht="15" hidden="false" customHeight="false" outlineLevel="0" collapsed="false">
      <c r="A9" s="37" t="n">
        <v>5</v>
      </c>
      <c r="B9" s="9" t="str">
        <f aca="false">'District Targets'!A9</f>
        <v>Thiruvananthapuram</v>
      </c>
      <c r="C9" s="16" t="str">
        <f aca="false">'District Targets'!C9</f>
        <v>Medium</v>
      </c>
      <c r="D9" s="9" t="str">
        <f aca="false">'District Targets'!D9</f>
        <v>Coord-1</v>
      </c>
      <c r="E9" s="9" t="str">
        <f aca="false">'District Targets'!E9</f>
        <v>South</v>
      </c>
      <c r="F9" s="12" t="n">
        <f aca="false">'District Targets'!H9</f>
        <v>1323.52941176471</v>
      </c>
      <c r="G9" s="11" t="n">
        <f aca="false">'District Targets'!G9</f>
        <v>450000</v>
      </c>
      <c r="H9" s="45" t="n">
        <v>1220</v>
      </c>
      <c r="I9" s="13" t="n">
        <f aca="false">H9*Parameters!$B$4</f>
        <v>414800</v>
      </c>
      <c r="J9" s="27" t="n">
        <f aca="false">IFERROR(H9/F9,0)</f>
        <v>0.921777777777778</v>
      </c>
      <c r="K9" s="46" t="n">
        <f aca="false">INDEX(Parameters!$C$19:$C$24,MATCH(J9,Parameters!$A$19:$A$24,1))</f>
        <v>0.75</v>
      </c>
      <c r="L9" s="13" t="n">
        <f aca="false">G9*Parameters!$B$11</f>
        <v>13500</v>
      </c>
      <c r="M9" s="13" t="n">
        <f aca="false">L9*K9</f>
        <v>10125</v>
      </c>
      <c r="N9" s="45" t="n">
        <v>19</v>
      </c>
      <c r="O9" s="37" t="str">
        <f aca="false">IF(N9&gt;=Parameters!$B$8,"Met","Not met")</f>
        <v>Met</v>
      </c>
      <c r="P9" s="47" t="n">
        <v>0.93</v>
      </c>
      <c r="Q9" s="46" t="n">
        <f aca="false">INDEX(Parameters!$C$28:$C$30,MATCH(P9,Parameters!$A$28:$A$30,1))</f>
        <v>1</v>
      </c>
      <c r="R9" s="15" t="n">
        <f aca="false">IF(OR(G9=0,O9="Not met"),0,M9*Q9)</f>
        <v>10125</v>
      </c>
    </row>
    <row r="10" customFormat="false" ht="15" hidden="false" customHeight="false" outlineLevel="0" collapsed="false">
      <c r="A10" s="37" t="n">
        <v>6</v>
      </c>
      <c r="B10" s="9" t="str">
        <f aca="false">'District Targets'!A10</f>
        <v>Thrissur</v>
      </c>
      <c r="C10" s="16" t="str">
        <f aca="false">'District Targets'!C10</f>
        <v>Medium</v>
      </c>
      <c r="D10" s="9" t="str">
        <f aca="false">'District Targets'!D10</f>
        <v>Coord-3</v>
      </c>
      <c r="E10" s="9" t="str">
        <f aca="false">'District Targets'!E10</f>
        <v>Central</v>
      </c>
      <c r="F10" s="12" t="n">
        <f aca="false">'District Targets'!H10</f>
        <v>1176.47058823529</v>
      </c>
      <c r="G10" s="11" t="n">
        <f aca="false">'District Targets'!G10</f>
        <v>400000</v>
      </c>
      <c r="H10" s="45" t="n">
        <v>1000</v>
      </c>
      <c r="I10" s="13" t="n">
        <f aca="false">H10*Parameters!$B$4</f>
        <v>340000</v>
      </c>
      <c r="J10" s="27" t="n">
        <f aca="false">IFERROR(H10/F10,0)</f>
        <v>0.85</v>
      </c>
      <c r="K10" s="46" t="n">
        <f aca="false">INDEX(Parameters!$C$19:$C$24,MATCH(J10,Parameters!$A$19:$A$24,1))</f>
        <v>0.6</v>
      </c>
      <c r="L10" s="13" t="n">
        <f aca="false">G10*Parameters!$B$11</f>
        <v>12000</v>
      </c>
      <c r="M10" s="13" t="n">
        <f aca="false">L10*K10</f>
        <v>7200</v>
      </c>
      <c r="N10" s="45" t="n">
        <v>17</v>
      </c>
      <c r="O10" s="37" t="str">
        <f aca="false">IF(N10&gt;=Parameters!$B$8,"Met","Not met")</f>
        <v>Met</v>
      </c>
      <c r="P10" s="47" t="n">
        <v>0.9</v>
      </c>
      <c r="Q10" s="46" t="n">
        <f aca="false">INDEX(Parameters!$C$28:$C$30,MATCH(P10,Parameters!$A$28:$A$30,1))</f>
        <v>1</v>
      </c>
      <c r="R10" s="15" t="n">
        <f aca="false">IF(OR(G10=0,O10="Not met"),0,M10*Q10)</f>
        <v>7200</v>
      </c>
    </row>
    <row r="11" customFormat="false" ht="15" hidden="false" customHeight="false" outlineLevel="0" collapsed="false">
      <c r="A11" s="37" t="n">
        <v>7</v>
      </c>
      <c r="B11" s="9" t="str">
        <f aca="false">'District Targets'!A11</f>
        <v>Kollam</v>
      </c>
      <c r="C11" s="16" t="str">
        <f aca="false">'District Targets'!C11</f>
        <v>Medium</v>
      </c>
      <c r="D11" s="9" t="str">
        <f aca="false">'District Targets'!D11</f>
        <v>Coord-1</v>
      </c>
      <c r="E11" s="9" t="str">
        <f aca="false">'District Targets'!E11</f>
        <v>South</v>
      </c>
      <c r="F11" s="12" t="n">
        <f aca="false">'District Targets'!H11</f>
        <v>1029.41176470588</v>
      </c>
      <c r="G11" s="11" t="n">
        <f aca="false">'District Targets'!G11</f>
        <v>350000</v>
      </c>
      <c r="H11" s="45" t="n">
        <v>830</v>
      </c>
      <c r="I11" s="13" t="n">
        <f aca="false">H11*Parameters!$B$4</f>
        <v>282200</v>
      </c>
      <c r="J11" s="27" t="n">
        <f aca="false">IFERROR(H11/F11,0)</f>
        <v>0.806285714285714</v>
      </c>
      <c r="K11" s="46" t="n">
        <f aca="false">INDEX(Parameters!$C$19:$C$24,MATCH(J11,Parameters!$A$19:$A$24,1))</f>
        <v>0.5</v>
      </c>
      <c r="L11" s="13" t="n">
        <f aca="false">G11*Parameters!$B$11</f>
        <v>10500</v>
      </c>
      <c r="M11" s="13" t="n">
        <f aca="false">L11*K11</f>
        <v>5250</v>
      </c>
      <c r="N11" s="45" t="n">
        <v>16</v>
      </c>
      <c r="O11" s="37" t="str">
        <f aca="false">IF(N11&gt;=Parameters!$B$8,"Met","Not met")</f>
        <v>Met</v>
      </c>
      <c r="P11" s="47" t="n">
        <v>0.91</v>
      </c>
      <c r="Q11" s="46" t="n">
        <f aca="false">INDEX(Parameters!$C$28:$C$30,MATCH(P11,Parameters!$A$28:$A$30,1))</f>
        <v>1</v>
      </c>
      <c r="R11" s="15" t="n">
        <f aca="false">IF(OR(G11=0,O11="Not met"),0,M11*Q11)</f>
        <v>5250</v>
      </c>
    </row>
    <row r="12" customFormat="false" ht="15" hidden="false" customHeight="false" outlineLevel="0" collapsed="false">
      <c r="A12" s="37" t="n">
        <v>8</v>
      </c>
      <c r="B12" s="9" t="str">
        <f aca="false">'District Targets'!A12</f>
        <v>Palakkad</v>
      </c>
      <c r="C12" s="16" t="str">
        <f aca="false">'District Targets'!C12</f>
        <v>Medium</v>
      </c>
      <c r="D12" s="9" t="str">
        <f aca="false">'District Targets'!D12</f>
        <v>Coord-4</v>
      </c>
      <c r="E12" s="9" t="str">
        <f aca="false">'District Targets'!E12</f>
        <v>North</v>
      </c>
      <c r="F12" s="12" t="n">
        <f aca="false">'District Targets'!H12</f>
        <v>1029.41176470588</v>
      </c>
      <c r="G12" s="11" t="n">
        <f aca="false">'District Targets'!G12</f>
        <v>350000</v>
      </c>
      <c r="H12" s="45" t="n">
        <v>800</v>
      </c>
      <c r="I12" s="13" t="n">
        <f aca="false">H12*Parameters!$B$4</f>
        <v>272000</v>
      </c>
      <c r="J12" s="27" t="n">
        <f aca="false">IFERROR(H12/F12,0)</f>
        <v>0.777142857142857</v>
      </c>
      <c r="K12" s="46" t="n">
        <f aca="false">INDEX(Parameters!$C$19:$C$24,MATCH(J12,Parameters!$A$19:$A$24,1))</f>
        <v>0</v>
      </c>
      <c r="L12" s="13" t="n">
        <f aca="false">G12*Parameters!$B$11</f>
        <v>10500</v>
      </c>
      <c r="M12" s="13" t="n">
        <f aca="false">L12*K12</f>
        <v>0</v>
      </c>
      <c r="N12" s="45" t="n">
        <v>14</v>
      </c>
      <c r="O12" s="37" t="str">
        <f aca="false">IF(N12&gt;=Parameters!$B$8,"Met","Not met")</f>
        <v>Met</v>
      </c>
      <c r="P12" s="47" t="n">
        <v>0.86</v>
      </c>
      <c r="Q12" s="46" t="n">
        <f aca="false">INDEX(Parameters!$C$28:$C$30,MATCH(P12,Parameters!$A$28:$A$30,1))</f>
        <v>0.75</v>
      </c>
      <c r="R12" s="15" t="n">
        <f aca="false">IF(OR(G12=0,O12="Not met"),0,M12*Q12)</f>
        <v>0</v>
      </c>
    </row>
    <row r="13" customFormat="false" ht="15" hidden="false" customHeight="false" outlineLevel="0" collapsed="false">
      <c r="A13" s="37" t="n">
        <v>9</v>
      </c>
      <c r="B13" s="9" t="str">
        <f aca="false">'District Targets'!A13</f>
        <v>Alappuzha</v>
      </c>
      <c r="C13" s="16" t="str">
        <f aca="false">'District Targets'!C13</f>
        <v>Medium</v>
      </c>
      <c r="D13" s="9" t="str">
        <f aca="false">'District Targets'!D13</f>
        <v>Coord-2</v>
      </c>
      <c r="E13" s="9" t="str">
        <f aca="false">'District Targets'!E13</f>
        <v>South</v>
      </c>
      <c r="F13" s="12" t="n">
        <f aca="false">'District Targets'!H13</f>
        <v>882.352941176471</v>
      </c>
      <c r="G13" s="11" t="n">
        <f aca="false">'District Targets'!G13</f>
        <v>300000</v>
      </c>
      <c r="H13" s="45" t="n">
        <v>880</v>
      </c>
      <c r="I13" s="13" t="n">
        <f aca="false">H13*Parameters!$B$4</f>
        <v>299200</v>
      </c>
      <c r="J13" s="27" t="n">
        <f aca="false">IFERROR(H13/F13,0)</f>
        <v>0.997333333333333</v>
      </c>
      <c r="K13" s="46" t="n">
        <f aca="false">INDEX(Parameters!$C$19:$C$24,MATCH(J13,Parameters!$A$19:$A$24,1))</f>
        <v>0.9</v>
      </c>
      <c r="L13" s="13" t="n">
        <f aca="false">G13*Parameters!$B$11</f>
        <v>9000</v>
      </c>
      <c r="M13" s="13" t="n">
        <f aca="false">L13*K13</f>
        <v>8100</v>
      </c>
      <c r="N13" s="45" t="n">
        <v>20</v>
      </c>
      <c r="O13" s="37" t="str">
        <f aca="false">IF(N13&gt;=Parameters!$B$8,"Met","Not met")</f>
        <v>Met</v>
      </c>
      <c r="P13" s="47" t="n">
        <v>0.95</v>
      </c>
      <c r="Q13" s="46" t="n">
        <f aca="false">INDEX(Parameters!$C$28:$C$30,MATCH(P13,Parameters!$A$28:$A$30,1))</f>
        <v>1</v>
      </c>
      <c r="R13" s="15" t="n">
        <f aca="false">IF(OR(G13=0,O13="Not met"),0,M13*Q13)</f>
        <v>8100</v>
      </c>
    </row>
    <row r="14" customFormat="false" ht="15" hidden="false" customHeight="false" outlineLevel="0" collapsed="false">
      <c r="A14" s="37" t="n">
        <v>10</v>
      </c>
      <c r="B14" s="9" t="str">
        <f aca="false">'District Targets'!A14</f>
        <v>Kasaragod</v>
      </c>
      <c r="C14" s="16" t="str">
        <f aca="false">'District Targets'!C14</f>
        <v>Medium</v>
      </c>
      <c r="D14" s="9" t="str">
        <f aca="false">'District Targets'!D14</f>
        <v>Coord-5</v>
      </c>
      <c r="E14" s="9" t="str">
        <f aca="false">'District Targets'!E14</f>
        <v>North</v>
      </c>
      <c r="F14" s="12" t="n">
        <f aca="false">'District Targets'!H14</f>
        <v>882.352941176471</v>
      </c>
      <c r="G14" s="11" t="n">
        <f aca="false">'District Targets'!G14</f>
        <v>300000</v>
      </c>
      <c r="H14" s="45" t="n">
        <v>790</v>
      </c>
      <c r="I14" s="13" t="n">
        <f aca="false">H14*Parameters!$B$4</f>
        <v>268600</v>
      </c>
      <c r="J14" s="27" t="n">
        <f aca="false">IFERROR(H14/F14,0)</f>
        <v>0.895333333333333</v>
      </c>
      <c r="K14" s="46" t="n">
        <f aca="false">INDEX(Parameters!$C$19:$C$24,MATCH(J14,Parameters!$A$19:$A$24,1))</f>
        <v>0.6</v>
      </c>
      <c r="L14" s="13" t="n">
        <f aca="false">G14*Parameters!$B$11</f>
        <v>9000</v>
      </c>
      <c r="M14" s="13" t="n">
        <f aca="false">L14*K14</f>
        <v>5400</v>
      </c>
      <c r="N14" s="45" t="n">
        <v>16</v>
      </c>
      <c r="O14" s="37" t="str">
        <f aca="false">IF(N14&gt;=Parameters!$B$8,"Met","Not met")</f>
        <v>Met</v>
      </c>
      <c r="P14" s="47" t="n">
        <v>0.84</v>
      </c>
      <c r="Q14" s="46" t="n">
        <f aca="false">INDEX(Parameters!$C$28:$C$30,MATCH(P14,Parameters!$A$28:$A$30,1))</f>
        <v>0.75</v>
      </c>
      <c r="R14" s="15" t="n">
        <f aca="false">IF(OR(G14=0,O14="Not met"),0,M14*Q14)</f>
        <v>4050</v>
      </c>
    </row>
    <row r="15" customFormat="false" ht="15" hidden="false" customHeight="false" outlineLevel="0" collapsed="false">
      <c r="A15" s="37" t="n">
        <v>11</v>
      </c>
      <c r="B15" s="9" t="str">
        <f aca="false">'District Targets'!A15</f>
        <v>Ernakulam</v>
      </c>
      <c r="C15" s="17" t="str">
        <f aca="false">'District Targets'!C15</f>
        <v>Low</v>
      </c>
      <c r="D15" s="9" t="str">
        <f aca="false">'District Targets'!D15</f>
        <v>Coord-3</v>
      </c>
      <c r="E15" s="9" t="str">
        <f aca="false">'District Targets'!E15</f>
        <v>Central</v>
      </c>
      <c r="F15" s="12" t="n">
        <f aca="false">'District Targets'!H15</f>
        <v>294.117647058824</v>
      </c>
      <c r="G15" s="11" t="n">
        <f aca="false">'District Targets'!G15</f>
        <v>100000</v>
      </c>
      <c r="H15" s="45" t="n">
        <v>240</v>
      </c>
      <c r="I15" s="13" t="n">
        <f aca="false">H15*Parameters!$B$4</f>
        <v>81600</v>
      </c>
      <c r="J15" s="27" t="n">
        <f aca="false">IFERROR(H15/F15,0)</f>
        <v>0.816</v>
      </c>
      <c r="K15" s="46" t="n">
        <f aca="false">INDEX(Parameters!$C$19:$C$24,MATCH(J15,Parameters!$A$19:$A$24,1))</f>
        <v>0.5</v>
      </c>
      <c r="L15" s="13" t="n">
        <f aca="false">G15*Parameters!$B$11</f>
        <v>3000</v>
      </c>
      <c r="M15" s="13" t="n">
        <f aca="false">L15*K15</f>
        <v>1500</v>
      </c>
      <c r="N15" s="45" t="n">
        <v>12</v>
      </c>
      <c r="O15" s="37" t="str">
        <f aca="false">IF(N15&gt;=Parameters!$B$8,"Met","Not met")</f>
        <v>Met</v>
      </c>
      <c r="P15" s="47" t="n">
        <v>0.92</v>
      </c>
      <c r="Q15" s="46" t="n">
        <f aca="false">INDEX(Parameters!$C$28:$C$30,MATCH(P15,Parameters!$A$28:$A$30,1))</f>
        <v>1</v>
      </c>
      <c r="R15" s="15" t="n">
        <f aca="false">IF(OR(G15=0,O15="Not met"),0,M15*Q15)</f>
        <v>1500</v>
      </c>
    </row>
    <row r="16" customFormat="false" ht="15" hidden="false" customHeight="false" outlineLevel="0" collapsed="false">
      <c r="A16" s="37" t="n">
        <v>12</v>
      </c>
      <c r="B16" s="9" t="str">
        <f aca="false">'District Targets'!A16</f>
        <v>Pathanamthitta</v>
      </c>
      <c r="C16" s="17" t="str">
        <f aca="false">'District Targets'!C16</f>
        <v>Low</v>
      </c>
      <c r="D16" s="9" t="str">
        <f aca="false">'District Targets'!D16</f>
        <v>Coord-1</v>
      </c>
      <c r="E16" s="9" t="str">
        <f aca="false">'District Targets'!E16</f>
        <v>South</v>
      </c>
      <c r="F16" s="12" t="n">
        <f aca="false">'District Targets'!H16</f>
        <v>220.588235294118</v>
      </c>
      <c r="G16" s="11" t="n">
        <f aca="false">'District Targets'!G16</f>
        <v>75000</v>
      </c>
      <c r="H16" s="45" t="n">
        <v>150</v>
      </c>
      <c r="I16" s="13" t="n">
        <f aca="false">H16*Parameters!$B$4</f>
        <v>51000</v>
      </c>
      <c r="J16" s="27" t="n">
        <f aca="false">IFERROR(H16/F16,0)</f>
        <v>0.68</v>
      </c>
      <c r="K16" s="46" t="n">
        <f aca="false">INDEX(Parameters!$C$19:$C$24,MATCH(J16,Parameters!$A$19:$A$24,1))</f>
        <v>0</v>
      </c>
      <c r="L16" s="13" t="n">
        <f aca="false">G16*Parameters!$B$11</f>
        <v>2250</v>
      </c>
      <c r="M16" s="13" t="n">
        <f aca="false">L16*K16</f>
        <v>0</v>
      </c>
      <c r="N16" s="45" t="n">
        <v>9</v>
      </c>
      <c r="O16" s="37" t="str">
        <f aca="false">IF(N16&gt;=Parameters!$B$8,"Met","Not met")</f>
        <v>Not met</v>
      </c>
      <c r="P16" s="47" t="n">
        <v>0.88</v>
      </c>
      <c r="Q16" s="46" t="n">
        <f aca="false">INDEX(Parameters!$C$28:$C$30,MATCH(P16,Parameters!$A$28:$A$30,1))</f>
        <v>0.75</v>
      </c>
      <c r="R16" s="15" t="n">
        <f aca="false">IF(OR(G16=0,O16="Not met"),0,M16*Q16)</f>
        <v>0</v>
      </c>
    </row>
    <row r="17" customFormat="false" ht="15" hidden="false" customHeight="false" outlineLevel="0" collapsed="false">
      <c r="A17" s="37" t="n">
        <v>13</v>
      </c>
      <c r="B17" s="9" t="str">
        <f aca="false">'District Targets'!A17</f>
        <v>Kottayam</v>
      </c>
      <c r="C17" s="17" t="str">
        <f aca="false">'District Targets'!C17</f>
        <v>Low</v>
      </c>
      <c r="D17" s="9" t="str">
        <f aca="false">'District Targets'!D17</f>
        <v>Coord-2</v>
      </c>
      <c r="E17" s="9" t="str">
        <f aca="false">'District Targets'!E17</f>
        <v>Central</v>
      </c>
      <c r="F17" s="12" t="n">
        <f aca="false">'District Targets'!H17</f>
        <v>220.588235294118</v>
      </c>
      <c r="G17" s="11" t="n">
        <f aca="false">'District Targets'!G17</f>
        <v>75000</v>
      </c>
      <c r="H17" s="45" t="n">
        <v>210</v>
      </c>
      <c r="I17" s="13" t="n">
        <f aca="false">H17*Parameters!$B$4</f>
        <v>71400</v>
      </c>
      <c r="J17" s="27" t="n">
        <f aca="false">IFERROR(H17/F17,0)</f>
        <v>0.952</v>
      </c>
      <c r="K17" s="46" t="n">
        <f aca="false">INDEX(Parameters!$C$19:$C$24,MATCH(J17,Parameters!$A$19:$A$24,1))</f>
        <v>0.9</v>
      </c>
      <c r="L17" s="13" t="n">
        <f aca="false">G17*Parameters!$B$11</f>
        <v>2250</v>
      </c>
      <c r="M17" s="13" t="n">
        <f aca="false">L17*K17</f>
        <v>2025</v>
      </c>
      <c r="N17" s="45" t="n">
        <v>11</v>
      </c>
      <c r="O17" s="37" t="str">
        <f aca="false">IF(N17&gt;=Parameters!$B$8,"Met","Not met")</f>
        <v>Met</v>
      </c>
      <c r="P17" s="47" t="n">
        <v>0.9</v>
      </c>
      <c r="Q17" s="46" t="n">
        <f aca="false">INDEX(Parameters!$C$28:$C$30,MATCH(P17,Parameters!$A$28:$A$30,1))</f>
        <v>1</v>
      </c>
      <c r="R17" s="15" t="n">
        <f aca="false">IF(OR(G17=0,O17="Not met"),0,M17*Q17)</f>
        <v>2025</v>
      </c>
    </row>
    <row r="18" customFormat="false" ht="15" hidden="false" customHeight="false" outlineLevel="0" collapsed="false">
      <c r="A18" s="37" t="n">
        <v>14</v>
      </c>
      <c r="B18" s="9" t="str">
        <f aca="false">'District Targets'!A18</f>
        <v>Idukki</v>
      </c>
      <c r="C18" s="18" t="str">
        <f aca="false">'District Targets'!C18</f>
        <v>No sales</v>
      </c>
      <c r="D18" s="9" t="str">
        <f aca="false">'District Targets'!D18</f>
        <v>Coord-2</v>
      </c>
      <c r="E18" s="9" t="str">
        <f aca="false">'District Targets'!E18</f>
        <v>Central</v>
      </c>
      <c r="F18" s="12" t="n">
        <f aca="false">'District Targets'!H18</f>
        <v>0</v>
      </c>
      <c r="G18" s="11" t="n">
        <f aca="false">'District Targets'!G18</f>
        <v>0</v>
      </c>
      <c r="H18" s="45" t="n">
        <v>0</v>
      </c>
      <c r="I18" s="13" t="n">
        <f aca="false">H18*Parameters!$B$4</f>
        <v>0</v>
      </c>
      <c r="J18" s="27" t="n">
        <f aca="false">IFERROR(H18/F18,0)</f>
        <v>0</v>
      </c>
      <c r="K18" s="46" t="n">
        <f aca="false">INDEX(Parameters!$C$19:$C$24,MATCH(J18,Parameters!$A$19:$A$24,1))</f>
        <v>0</v>
      </c>
      <c r="L18" s="13" t="n">
        <f aca="false">G18*Parameters!$B$11</f>
        <v>0</v>
      </c>
      <c r="M18" s="13" t="n">
        <f aca="false">L18*K18</f>
        <v>0</v>
      </c>
      <c r="N18" s="45" t="n">
        <v>0</v>
      </c>
      <c r="O18" s="37" t="str">
        <f aca="false">IF(N18&gt;=Parameters!$B$8,"Met","Not met")</f>
        <v>Not met</v>
      </c>
      <c r="P18" s="47" t="n">
        <v>0</v>
      </c>
      <c r="Q18" s="46" t="n">
        <f aca="false">INDEX(Parameters!$C$28:$C$30,MATCH(P18,Parameters!$A$28:$A$30,1))</f>
        <v>0</v>
      </c>
      <c r="R18" s="15" t="n">
        <f aca="false">IF(OR(G18=0,O18="Not met"),0,M18*Q18)</f>
        <v>0</v>
      </c>
    </row>
    <row r="19" customFormat="false" ht="15" hidden="false" customHeight="false" outlineLevel="0" collapsed="false">
      <c r="A19" s="20"/>
      <c r="B19" s="19" t="s">
        <v>151</v>
      </c>
      <c r="C19" s="20"/>
      <c r="D19" s="20"/>
      <c r="E19" s="20"/>
      <c r="F19" s="22" t="n">
        <f aca="false">SUM(F5:F18)</f>
        <v>14705.8823529412</v>
      </c>
      <c r="G19" s="21" t="n">
        <f aca="false">SUM(G5:G18)</f>
        <v>5000000</v>
      </c>
      <c r="H19" s="22" t="n">
        <f aca="false">SUM(H5:H18)</f>
        <v>13720</v>
      </c>
      <c r="I19" s="21" t="n">
        <f aca="false">SUM(I5:I18)</f>
        <v>4664800</v>
      </c>
      <c r="J19" s="48" t="n">
        <f aca="false">IFERROR(H19/F19,0)</f>
        <v>0.93296</v>
      </c>
      <c r="K19" s="20"/>
      <c r="L19" s="21" t="n">
        <f aca="false">SUM(L5:L18)</f>
        <v>150000</v>
      </c>
      <c r="M19" s="21" t="n">
        <f aca="false">SUM(M5:M18)</f>
        <v>108900</v>
      </c>
      <c r="N19" s="22" t="n">
        <f aca="false">SUM(N5:N18)</f>
        <v>218</v>
      </c>
      <c r="O19" s="20"/>
      <c r="P19" s="48" t="n">
        <f aca="false">IFERROR(SUMPRODUCT(I5:I18,P5:P18)/I19,0)</f>
        <v>0.91548833819242</v>
      </c>
      <c r="Q19" s="20"/>
      <c r="R19" s="21" t="n">
        <f aca="false">SUM(R5:R18)</f>
        <v>107550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3"/>
  </cols>
  <sheetData>
    <row r="1" customFormat="false" ht="17.35" hidden="false" customHeight="false" outlineLevel="0" collapsed="false">
      <c r="A1" s="1" t="s">
        <v>166</v>
      </c>
    </row>
    <row r="2" customFormat="false" ht="15" hidden="false" customHeight="false" outlineLevel="0" collapsed="false">
      <c r="A2" s="5" t="s">
        <v>167</v>
      </c>
    </row>
    <row r="4" customFormat="false" ht="39.75" hidden="false" customHeight="true" outlineLevel="0" collapsed="false">
      <c r="A4" s="8" t="s">
        <v>154</v>
      </c>
      <c r="B4" s="8" t="s">
        <v>168</v>
      </c>
      <c r="C4" s="8" t="s">
        <v>169</v>
      </c>
      <c r="D4" s="8" t="s">
        <v>28</v>
      </c>
      <c r="E4" s="8" t="s">
        <v>27</v>
      </c>
      <c r="F4" s="8" t="s">
        <v>63</v>
      </c>
      <c r="G4" s="8" t="s">
        <v>156</v>
      </c>
      <c r="H4" s="8" t="s">
        <v>157</v>
      </c>
      <c r="I4" s="8" t="s">
        <v>158</v>
      </c>
      <c r="J4" s="8" t="s">
        <v>159</v>
      </c>
      <c r="K4" s="8" t="s">
        <v>160</v>
      </c>
      <c r="L4" s="8" t="s">
        <v>29</v>
      </c>
      <c r="M4" s="8" t="s">
        <v>163</v>
      </c>
      <c r="N4" s="8" t="s">
        <v>164</v>
      </c>
      <c r="O4" s="8" t="s">
        <v>165</v>
      </c>
    </row>
    <row r="5" customFormat="false" ht="15" hidden="false" customHeight="false" outlineLevel="0" collapsed="false">
      <c r="A5" s="37" t="n">
        <v>1</v>
      </c>
      <c r="B5" s="38" t="s">
        <v>126</v>
      </c>
      <c r="C5" s="33" t="s">
        <v>170</v>
      </c>
      <c r="D5" s="12" t="n">
        <f aca="false">SUMIFS('TSO Incentive'!$F$5:$F$18,'TSO Incentive'!$D$5:$D$18,$B5)</f>
        <v>2573.52941176471</v>
      </c>
      <c r="E5" s="11" t="n">
        <f aca="false">SUMIFS('TSO Incentive'!$G$5:$G$18,'TSO Incentive'!$D$5:$D$18,$B5)</f>
        <v>875000</v>
      </c>
      <c r="F5" s="12" t="n">
        <f aca="false">SUMIFS('TSO Incentive'!$H$5:$H$18,'TSO Incentive'!$D$5:$D$18,$B5)</f>
        <v>2200</v>
      </c>
      <c r="G5" s="11" t="n">
        <f aca="false">SUMIFS('TSO Incentive'!$I$5:$I$18,'TSO Incentive'!$D$5:$D$18,$B5)</f>
        <v>748000</v>
      </c>
      <c r="H5" s="27" t="n">
        <f aca="false">IFERROR(F5/D5,0)</f>
        <v>0.854857142857143</v>
      </c>
      <c r="I5" s="46" t="n">
        <f aca="false">INDEX(Parameters!$C$19:$C$24,MATCH(H5,Parameters!$A$19:$A$24,1))</f>
        <v>0.6</v>
      </c>
      <c r="J5" s="13" t="n">
        <f aca="false">E5*Parameters!$B$12</f>
        <v>8750</v>
      </c>
      <c r="K5" s="13" t="n">
        <f aca="false">J5*I5</f>
        <v>5250</v>
      </c>
      <c r="L5" s="13" t="n">
        <f aca="false">E5*Parameters!$A$20</f>
        <v>700000</v>
      </c>
      <c r="M5" s="47" t="n">
        <v>0.91</v>
      </c>
      <c r="N5" s="46" t="n">
        <f aca="false">INDEX(Parameters!$C$28:$C$30,MATCH(M5,Parameters!$A$28:$A$30,1))</f>
        <v>1</v>
      </c>
      <c r="O5" s="15" t="n">
        <f aca="false">K5*N5</f>
        <v>5250</v>
      </c>
    </row>
    <row r="6" customFormat="false" ht="15" hidden="false" customHeight="false" outlineLevel="0" collapsed="false">
      <c r="A6" s="37" t="n">
        <v>2</v>
      </c>
      <c r="B6" s="38" t="s">
        <v>138</v>
      </c>
      <c r="C6" s="33" t="s">
        <v>171</v>
      </c>
      <c r="D6" s="12" t="n">
        <f aca="false">SUMIFS('TSO Incentive'!$F$5:$F$18,'TSO Incentive'!$D$5:$D$18,$B6)</f>
        <v>1102.94117647059</v>
      </c>
      <c r="E6" s="11" t="n">
        <f aca="false">SUMIFS('TSO Incentive'!$G$5:$G$18,'TSO Incentive'!$D$5:$D$18,$B6)</f>
        <v>375000</v>
      </c>
      <c r="F6" s="12" t="n">
        <f aca="false">SUMIFS('TSO Incentive'!$H$5:$H$18,'TSO Incentive'!$D$5:$D$18,$B6)</f>
        <v>1090</v>
      </c>
      <c r="G6" s="11" t="n">
        <f aca="false">SUMIFS('TSO Incentive'!$I$5:$I$18,'TSO Incentive'!$D$5:$D$18,$B6)</f>
        <v>370600</v>
      </c>
      <c r="H6" s="27" t="n">
        <f aca="false">IFERROR(F6/D6,0)</f>
        <v>0.988266666666667</v>
      </c>
      <c r="I6" s="46" t="n">
        <f aca="false">INDEX(Parameters!$C$19:$C$24,MATCH(H6,Parameters!$A$19:$A$24,1))</f>
        <v>0.9</v>
      </c>
      <c r="J6" s="13" t="n">
        <f aca="false">E6*Parameters!$B$12</f>
        <v>3750</v>
      </c>
      <c r="K6" s="13" t="n">
        <f aca="false">J6*I6</f>
        <v>3375</v>
      </c>
      <c r="L6" s="13" t="n">
        <f aca="false">E6*Parameters!$A$20</f>
        <v>300000</v>
      </c>
      <c r="M6" s="47" t="n">
        <v>0.92</v>
      </c>
      <c r="N6" s="46" t="n">
        <f aca="false">INDEX(Parameters!$C$28:$C$30,MATCH(M6,Parameters!$A$28:$A$30,1))</f>
        <v>1</v>
      </c>
      <c r="O6" s="15" t="n">
        <f aca="false">K6*N6</f>
        <v>3375</v>
      </c>
    </row>
    <row r="7" customFormat="false" ht="15" hidden="false" customHeight="false" outlineLevel="0" collapsed="false">
      <c r="A7" s="37" t="n">
        <v>3</v>
      </c>
      <c r="B7" s="38" t="s">
        <v>130</v>
      </c>
      <c r="C7" s="33" t="s">
        <v>172</v>
      </c>
      <c r="D7" s="12" t="n">
        <f aca="false">SUMIFS('TSO Incentive'!$F$5:$F$18,'TSO Incentive'!$D$5:$D$18,$B7)</f>
        <v>1470.58823529412</v>
      </c>
      <c r="E7" s="11" t="n">
        <f aca="false">SUMIFS('TSO Incentive'!$G$5:$G$18,'TSO Incentive'!$D$5:$D$18,$B7)</f>
        <v>500000</v>
      </c>
      <c r="F7" s="12" t="n">
        <f aca="false">SUMIFS('TSO Incentive'!$H$5:$H$18,'TSO Incentive'!$D$5:$D$18,$B7)</f>
        <v>1240</v>
      </c>
      <c r="G7" s="11" t="n">
        <f aca="false">SUMIFS('TSO Incentive'!$I$5:$I$18,'TSO Incentive'!$D$5:$D$18,$B7)</f>
        <v>421600</v>
      </c>
      <c r="H7" s="27" t="n">
        <f aca="false">IFERROR(F7/D7,0)</f>
        <v>0.8432</v>
      </c>
      <c r="I7" s="46" t="n">
        <f aca="false">INDEX(Parameters!$C$19:$C$24,MATCH(H7,Parameters!$A$19:$A$24,1))</f>
        <v>0.5</v>
      </c>
      <c r="J7" s="13" t="n">
        <f aca="false">E7*Parameters!$B$12</f>
        <v>5000</v>
      </c>
      <c r="K7" s="13" t="n">
        <f aca="false">J7*I7</f>
        <v>2500</v>
      </c>
      <c r="L7" s="13" t="n">
        <f aca="false">E7*Parameters!$A$20</f>
        <v>400000</v>
      </c>
      <c r="M7" s="47" t="n">
        <v>0.91</v>
      </c>
      <c r="N7" s="46" t="n">
        <f aca="false">INDEX(Parameters!$C$28:$C$30,MATCH(M7,Parameters!$A$28:$A$30,1))</f>
        <v>1</v>
      </c>
      <c r="O7" s="15" t="n">
        <f aca="false">K7*N7</f>
        <v>2500</v>
      </c>
    </row>
    <row r="8" customFormat="false" ht="15" hidden="false" customHeight="false" outlineLevel="0" collapsed="false">
      <c r="A8" s="37" t="n">
        <v>4</v>
      </c>
      <c r="B8" s="38" t="s">
        <v>114</v>
      </c>
      <c r="C8" s="33" t="s">
        <v>173</v>
      </c>
      <c r="D8" s="12" t="n">
        <f aca="false">SUMIFS('TSO Incentive'!$F$5:$F$18,'TSO Incentive'!$D$5:$D$18,$B8)</f>
        <v>5147.05882352941</v>
      </c>
      <c r="E8" s="11" t="n">
        <f aca="false">SUMIFS('TSO Incentive'!$G$5:$G$18,'TSO Incentive'!$D$5:$D$18,$B8)</f>
        <v>1750000</v>
      </c>
      <c r="F8" s="12" t="n">
        <f aca="false">SUMIFS('TSO Incentive'!$H$5:$H$18,'TSO Incentive'!$D$5:$D$18,$B8)</f>
        <v>4920</v>
      </c>
      <c r="G8" s="11" t="n">
        <f aca="false">SUMIFS('TSO Incentive'!$I$5:$I$18,'TSO Incentive'!$D$5:$D$18,$B8)</f>
        <v>1672800</v>
      </c>
      <c r="H8" s="27" t="n">
        <f aca="false">IFERROR(F8/D8,0)</f>
        <v>0.955885714285714</v>
      </c>
      <c r="I8" s="46" t="n">
        <f aca="false">INDEX(Parameters!$C$19:$C$24,MATCH(H8,Parameters!$A$19:$A$24,1))</f>
        <v>0.9</v>
      </c>
      <c r="J8" s="13" t="n">
        <f aca="false">E8*Parameters!$B$12</f>
        <v>17500</v>
      </c>
      <c r="K8" s="13" t="n">
        <f aca="false">J8*I8</f>
        <v>15750</v>
      </c>
      <c r="L8" s="13" t="n">
        <f aca="false">E8*Parameters!$A$20</f>
        <v>1400000</v>
      </c>
      <c r="M8" s="47" t="n">
        <v>0.91</v>
      </c>
      <c r="N8" s="46" t="n">
        <f aca="false">INDEX(Parameters!$C$28:$C$30,MATCH(M8,Parameters!$A$28:$A$30,1))</f>
        <v>1</v>
      </c>
      <c r="O8" s="15" t="n">
        <f aca="false">K8*N8</f>
        <v>15750</v>
      </c>
    </row>
    <row r="9" customFormat="false" ht="15" hidden="false" customHeight="false" outlineLevel="0" collapsed="false">
      <c r="A9" s="37" t="n">
        <v>5</v>
      </c>
      <c r="B9" s="38" t="s">
        <v>120</v>
      </c>
      <c r="C9" s="33" t="s">
        <v>174</v>
      </c>
      <c r="D9" s="12" t="n">
        <f aca="false">SUMIFS('TSO Incentive'!$F$5:$F$18,'TSO Incentive'!$D$5:$D$18,$B9)</f>
        <v>4411.76470588235</v>
      </c>
      <c r="E9" s="11" t="n">
        <f aca="false">SUMIFS('TSO Incentive'!$G$5:$G$18,'TSO Incentive'!$D$5:$D$18,$B9)</f>
        <v>1500000</v>
      </c>
      <c r="F9" s="12" t="n">
        <f aca="false">SUMIFS('TSO Incentive'!$H$5:$H$18,'TSO Incentive'!$D$5:$D$18,$B9)</f>
        <v>4270</v>
      </c>
      <c r="G9" s="11" t="n">
        <f aca="false">SUMIFS('TSO Incentive'!$I$5:$I$18,'TSO Incentive'!$D$5:$D$18,$B9)</f>
        <v>1451800</v>
      </c>
      <c r="H9" s="27" t="n">
        <f aca="false">IFERROR(F9/D9,0)</f>
        <v>0.967866666666667</v>
      </c>
      <c r="I9" s="46" t="n">
        <f aca="false">INDEX(Parameters!$C$19:$C$24,MATCH(H9,Parameters!$A$19:$A$24,1))</f>
        <v>0.9</v>
      </c>
      <c r="J9" s="13" t="n">
        <f aca="false">E9*Parameters!$B$12</f>
        <v>15000</v>
      </c>
      <c r="K9" s="13" t="n">
        <f aca="false">J9*I9</f>
        <v>13500</v>
      </c>
      <c r="L9" s="13" t="n">
        <f aca="false">E9*Parameters!$A$20</f>
        <v>1200000</v>
      </c>
      <c r="M9" s="47" t="n">
        <v>0.89</v>
      </c>
      <c r="N9" s="46" t="n">
        <f aca="false">INDEX(Parameters!$C$28:$C$30,MATCH(M9,Parameters!$A$28:$A$30,1))</f>
        <v>0.75</v>
      </c>
      <c r="O9" s="15" t="n">
        <f aca="false">K9*N9</f>
        <v>10125</v>
      </c>
    </row>
    <row r="10" customFormat="false" ht="15" hidden="false" customHeight="false" outlineLevel="0" collapsed="false">
      <c r="A10" s="20"/>
      <c r="B10" s="19" t="s">
        <v>59</v>
      </c>
      <c r="C10" s="20"/>
      <c r="D10" s="22" t="n">
        <f aca="false">SUM(D5:D9)</f>
        <v>14705.8823529412</v>
      </c>
      <c r="E10" s="21" t="n">
        <f aca="false">SUM(E5:E9)</f>
        <v>5000000</v>
      </c>
      <c r="F10" s="22" t="n">
        <f aca="false">SUM(F5:F9)</f>
        <v>13720</v>
      </c>
      <c r="G10" s="21" t="n">
        <f aca="false">SUM(G5:G9)</f>
        <v>4664800</v>
      </c>
      <c r="H10" s="48" t="n">
        <f aca="false">IFERROR(F10/D10,0)</f>
        <v>0.93296</v>
      </c>
      <c r="I10" s="20"/>
      <c r="J10" s="21" t="n">
        <f aca="false">SUM(J5:J9)</f>
        <v>50000</v>
      </c>
      <c r="K10" s="21" t="n">
        <f aca="false">SUM(K5:K9)</f>
        <v>40375</v>
      </c>
      <c r="L10" s="21" t="n">
        <f aca="false">SUM(L5:L9)</f>
        <v>4000000</v>
      </c>
      <c r="M10" s="48" t="n">
        <f aca="false">IFERROR(SUMPRODUCT(G5:G9,M5:M9)/G10,0)</f>
        <v>0.904569970845481</v>
      </c>
      <c r="N10" s="20"/>
      <c r="O10" s="21" t="n">
        <f aca="false">SUM(O5:O9)</f>
        <v>37000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3"/>
  </cols>
  <sheetData>
    <row r="1" customFormat="false" ht="17.35" hidden="false" customHeight="false" outlineLevel="0" collapsed="false">
      <c r="A1" s="1" t="s">
        <v>175</v>
      </c>
    </row>
    <row r="2" customFormat="false" ht="15" hidden="false" customHeight="false" outlineLevel="0" collapsed="false">
      <c r="A2" s="5" t="s">
        <v>167</v>
      </c>
    </row>
    <row r="4" customFormat="false" ht="39.75" hidden="false" customHeight="true" outlineLevel="0" collapsed="false">
      <c r="A4" s="8" t="s">
        <v>154</v>
      </c>
      <c r="B4" s="8" t="s">
        <v>168</v>
      </c>
      <c r="C4" s="8" t="s">
        <v>169</v>
      </c>
      <c r="D4" s="8" t="s">
        <v>28</v>
      </c>
      <c r="E4" s="8" t="s">
        <v>27</v>
      </c>
      <c r="F4" s="8" t="s">
        <v>63</v>
      </c>
      <c r="G4" s="8" t="s">
        <v>156</v>
      </c>
      <c r="H4" s="8" t="s">
        <v>157</v>
      </c>
      <c r="I4" s="8" t="s">
        <v>158</v>
      </c>
      <c r="J4" s="8" t="s">
        <v>159</v>
      </c>
      <c r="K4" s="8" t="s">
        <v>160</v>
      </c>
      <c r="L4" s="8" t="s">
        <v>29</v>
      </c>
      <c r="M4" s="8" t="s">
        <v>163</v>
      </c>
      <c r="N4" s="8" t="s">
        <v>164</v>
      </c>
      <c r="O4" s="8" t="s">
        <v>165</v>
      </c>
    </row>
    <row r="5" customFormat="false" ht="15" hidden="false" customHeight="false" outlineLevel="0" collapsed="false">
      <c r="A5" s="37" t="n">
        <v>1</v>
      </c>
      <c r="B5" s="38" t="s">
        <v>127</v>
      </c>
      <c r="C5" s="33" t="s">
        <v>176</v>
      </c>
      <c r="D5" s="12" t="n">
        <f aca="false">SUMIFS('TSO Incentive'!$F$5:$F$18,'TSO Incentive'!$E$5:$E$18,$B5)</f>
        <v>3455.88235294118</v>
      </c>
      <c r="E5" s="11" t="n">
        <f aca="false">SUMIFS('TSO Incentive'!$G$5:$G$18,'TSO Incentive'!$E$5:$E$18,$B5)</f>
        <v>1175000</v>
      </c>
      <c r="F5" s="12" t="n">
        <f aca="false">SUMIFS('TSO Incentive'!$H$5:$H$18,'TSO Incentive'!$E$5:$E$18,$B5)</f>
        <v>3080</v>
      </c>
      <c r="G5" s="11" t="n">
        <f aca="false">SUMIFS('TSO Incentive'!$I$5:$I$18,'TSO Incentive'!$E$5:$E$18,$B5)</f>
        <v>1047200</v>
      </c>
      <c r="H5" s="27" t="n">
        <f aca="false">IFERROR(F5/D5,0)</f>
        <v>0.891234042553192</v>
      </c>
      <c r="I5" s="46" t="n">
        <f aca="false">INDEX(Parameters!$C$19:$C$24,MATCH(H5,Parameters!$A$19:$A$24,1))</f>
        <v>0.6</v>
      </c>
      <c r="J5" s="13" t="n">
        <f aca="false">E5*Parameters!$B$13</f>
        <v>5875</v>
      </c>
      <c r="K5" s="13" t="n">
        <f aca="false">J5*I5</f>
        <v>3525</v>
      </c>
      <c r="L5" s="13" t="n">
        <f aca="false">E5*Parameters!$A$20</f>
        <v>940000</v>
      </c>
      <c r="M5" s="47" t="n">
        <v>0.92</v>
      </c>
      <c r="N5" s="46" t="n">
        <f aca="false">INDEX(Parameters!$C$28:$C$30,MATCH(M5,Parameters!$A$28:$A$30,1))</f>
        <v>1</v>
      </c>
      <c r="O5" s="15" t="n">
        <f aca="false">K5*N5</f>
        <v>3525</v>
      </c>
    </row>
    <row r="6" customFormat="false" ht="15" hidden="false" customHeight="false" outlineLevel="0" collapsed="false">
      <c r="A6" s="37" t="n">
        <v>2</v>
      </c>
      <c r="B6" s="38" t="s">
        <v>131</v>
      </c>
      <c r="C6" s="33" t="s">
        <v>177</v>
      </c>
      <c r="D6" s="12" t="n">
        <f aca="false">SUMIFS('TSO Incentive'!$F$5:$F$18,'TSO Incentive'!$E$5:$E$18,$B6)</f>
        <v>1691.17647058824</v>
      </c>
      <c r="E6" s="11" t="n">
        <f aca="false">SUMIFS('TSO Incentive'!$G$5:$G$18,'TSO Incentive'!$E$5:$E$18,$B6)</f>
        <v>575000</v>
      </c>
      <c r="F6" s="12" t="n">
        <f aca="false">SUMIFS('TSO Incentive'!$H$5:$H$18,'TSO Incentive'!$E$5:$E$18,$B6)</f>
        <v>1450</v>
      </c>
      <c r="G6" s="11" t="n">
        <f aca="false">SUMIFS('TSO Incentive'!$I$5:$I$18,'TSO Incentive'!$E$5:$E$18,$B6)</f>
        <v>493000</v>
      </c>
      <c r="H6" s="27" t="n">
        <f aca="false">IFERROR(F6/D6,0)</f>
        <v>0.857391304347826</v>
      </c>
      <c r="I6" s="46" t="n">
        <f aca="false">INDEX(Parameters!$C$19:$C$24,MATCH(H6,Parameters!$A$19:$A$24,1))</f>
        <v>0.6</v>
      </c>
      <c r="J6" s="13" t="n">
        <f aca="false">E6*Parameters!$B$13</f>
        <v>2875</v>
      </c>
      <c r="K6" s="13" t="n">
        <f aca="false">J6*I6</f>
        <v>1725</v>
      </c>
      <c r="L6" s="13" t="n">
        <f aca="false">E6*Parameters!$A$20</f>
        <v>460000</v>
      </c>
      <c r="M6" s="47" t="n">
        <v>0.91</v>
      </c>
      <c r="N6" s="46" t="n">
        <f aca="false">INDEX(Parameters!$C$28:$C$30,MATCH(M6,Parameters!$A$28:$A$30,1))</f>
        <v>1</v>
      </c>
      <c r="O6" s="15" t="n">
        <f aca="false">K6*N6</f>
        <v>1725</v>
      </c>
    </row>
    <row r="7" customFormat="false" ht="15" hidden="false" customHeight="false" outlineLevel="0" collapsed="false">
      <c r="A7" s="37" t="n">
        <v>3</v>
      </c>
      <c r="B7" s="38" t="s">
        <v>115</v>
      </c>
      <c r="C7" s="33" t="s">
        <v>178</v>
      </c>
      <c r="D7" s="12" t="n">
        <f aca="false">SUMIFS('TSO Incentive'!$F$5:$F$18,'TSO Incentive'!$E$5:$E$18,$B7)</f>
        <v>9558.82352941177</v>
      </c>
      <c r="E7" s="11" t="n">
        <f aca="false">SUMIFS('TSO Incentive'!$G$5:$G$18,'TSO Incentive'!$E$5:$E$18,$B7)</f>
        <v>3250000</v>
      </c>
      <c r="F7" s="12" t="n">
        <f aca="false">SUMIFS('TSO Incentive'!$H$5:$H$18,'TSO Incentive'!$E$5:$E$18,$B7)</f>
        <v>9190</v>
      </c>
      <c r="G7" s="11" t="n">
        <f aca="false">SUMIFS('TSO Incentive'!$I$5:$I$18,'TSO Incentive'!$E$5:$E$18,$B7)</f>
        <v>3124600</v>
      </c>
      <c r="H7" s="27" t="n">
        <f aca="false">IFERROR(F7/D7,0)</f>
        <v>0.961415384615385</v>
      </c>
      <c r="I7" s="46" t="n">
        <f aca="false">INDEX(Parameters!$C$19:$C$24,MATCH(H7,Parameters!$A$19:$A$24,1))</f>
        <v>0.9</v>
      </c>
      <c r="J7" s="13" t="n">
        <f aca="false">E7*Parameters!$B$13</f>
        <v>16250</v>
      </c>
      <c r="K7" s="13" t="n">
        <f aca="false">J7*I7</f>
        <v>14625</v>
      </c>
      <c r="L7" s="13" t="n">
        <f aca="false">E7*Parameters!$A$20</f>
        <v>2600000</v>
      </c>
      <c r="M7" s="47" t="n">
        <v>0.91</v>
      </c>
      <c r="N7" s="46" t="n">
        <f aca="false">INDEX(Parameters!$C$28:$C$30,MATCH(M7,Parameters!$A$28:$A$30,1))</f>
        <v>1</v>
      </c>
      <c r="O7" s="15" t="n">
        <f aca="false">K7*N7</f>
        <v>14625</v>
      </c>
    </row>
    <row r="8" customFormat="false" ht="15" hidden="false" customHeight="false" outlineLevel="0" collapsed="false">
      <c r="A8" s="20"/>
      <c r="B8" s="19" t="s">
        <v>59</v>
      </c>
      <c r="C8" s="20"/>
      <c r="D8" s="22" t="n">
        <f aca="false">SUM(D5:D7)</f>
        <v>14705.8823529412</v>
      </c>
      <c r="E8" s="21" t="n">
        <f aca="false">SUM(E5:E7)</f>
        <v>5000000</v>
      </c>
      <c r="F8" s="22" t="n">
        <f aca="false">SUM(F5:F7)</f>
        <v>13720</v>
      </c>
      <c r="G8" s="21" t="n">
        <f aca="false">SUM(G5:G7)</f>
        <v>4664800</v>
      </c>
      <c r="H8" s="48" t="n">
        <f aca="false">IFERROR(F8/D8,0)</f>
        <v>0.93296</v>
      </c>
      <c r="I8" s="20"/>
      <c r="J8" s="21" t="n">
        <f aca="false">SUM(J5:J7)</f>
        <v>25000</v>
      </c>
      <c r="K8" s="21" t="n">
        <f aca="false">SUM(K5:K7)</f>
        <v>19875</v>
      </c>
      <c r="L8" s="21" t="n">
        <f aca="false">SUM(L5:L7)</f>
        <v>4000000</v>
      </c>
      <c r="M8" s="48" t="n">
        <f aca="false">IFERROR(SUMPRODUCT(G5:G7,M5:M7)/G8,0)</f>
        <v>0.912244897959184</v>
      </c>
      <c r="N8" s="20"/>
      <c r="O8" s="21" t="n">
        <f aca="false">SUM(O5:O7)</f>
        <v>19875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48235"/>
    <pageSetUpPr fitToPage="false"/>
  </sheetPr>
  <dimension ref="A1:O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2"/>
    <col collapsed="false" customWidth="true" hidden="false" outlineLevel="0" max="3" min="3" style="0" width="28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  <col collapsed="false" customWidth="true" hidden="false" outlineLevel="0" max="8" min="8" style="0" width="8"/>
    <col collapsed="false" customWidth="true" hidden="false" outlineLevel="0" max="9" min="9" style="0" width="7"/>
    <col collapsed="false" customWidth="true" hidden="false" outlineLevel="0" max="10" min="10" style="0" width="12"/>
    <col collapsed="false" customWidth="true" hidden="false" outlineLevel="0" max="11" min="11" style="0" width="11"/>
    <col collapsed="false" customWidth="true" hidden="false" outlineLevel="0" max="12" min="12" style="0" width="13"/>
    <col collapsed="false" customWidth="true" hidden="false" outlineLevel="0" max="13" min="13" style="0" width="9"/>
    <col collapsed="false" customWidth="true" hidden="false" outlineLevel="0" max="14" min="14" style="0" width="8"/>
    <col collapsed="false" customWidth="true" hidden="false" outlineLevel="0" max="15" min="15" style="0" width="13"/>
  </cols>
  <sheetData>
    <row r="1" customFormat="false" ht="17.35" hidden="false" customHeight="false" outlineLevel="0" collapsed="false">
      <c r="A1" s="1" t="s">
        <v>179</v>
      </c>
    </row>
    <row r="2" customFormat="false" ht="15" hidden="false" customHeight="false" outlineLevel="0" collapsed="false">
      <c r="A2" s="5" t="s">
        <v>167</v>
      </c>
    </row>
    <row r="4" customFormat="false" ht="39.75" hidden="false" customHeight="true" outlineLevel="0" collapsed="false">
      <c r="A4" s="8" t="s">
        <v>154</v>
      </c>
      <c r="B4" s="8" t="s">
        <v>168</v>
      </c>
      <c r="C4" s="8" t="s">
        <v>169</v>
      </c>
      <c r="D4" s="8" t="s">
        <v>28</v>
      </c>
      <c r="E4" s="8" t="s">
        <v>27</v>
      </c>
      <c r="F4" s="8" t="s">
        <v>63</v>
      </c>
      <c r="G4" s="8" t="s">
        <v>156</v>
      </c>
      <c r="H4" s="8" t="s">
        <v>157</v>
      </c>
      <c r="I4" s="8" t="s">
        <v>158</v>
      </c>
      <c r="J4" s="8" t="s">
        <v>159</v>
      </c>
      <c r="K4" s="8" t="s">
        <v>160</v>
      </c>
      <c r="L4" s="8" t="s">
        <v>29</v>
      </c>
      <c r="M4" s="8" t="s">
        <v>163</v>
      </c>
      <c r="N4" s="8" t="s">
        <v>164</v>
      </c>
      <c r="O4" s="8" t="s">
        <v>165</v>
      </c>
    </row>
    <row r="5" customFormat="false" ht="15" hidden="false" customHeight="false" outlineLevel="0" collapsed="false">
      <c r="A5" s="37" t="n">
        <v>1</v>
      </c>
      <c r="B5" s="38" t="s">
        <v>180</v>
      </c>
      <c r="C5" s="33" t="s">
        <v>181</v>
      </c>
      <c r="D5" s="12" t="n">
        <f aca="false">SUM('TSO Incentive'!$F$5:$F$18)</f>
        <v>14705.8823529412</v>
      </c>
      <c r="E5" s="11" t="n">
        <f aca="false">SUM('TSO Incentive'!$G$5:$G$18)</f>
        <v>5000000</v>
      </c>
      <c r="F5" s="12" t="n">
        <f aca="false">SUM('TSO Incentive'!$H$5:$H$18)</f>
        <v>13720</v>
      </c>
      <c r="G5" s="11" t="n">
        <f aca="false">SUM('TSO Incentive'!$I$5:$I$18)</f>
        <v>4664800</v>
      </c>
      <c r="H5" s="27" t="n">
        <f aca="false">IFERROR(F5/D5,0)</f>
        <v>0.93296</v>
      </c>
      <c r="I5" s="46" t="n">
        <f aca="false">INDEX(Parameters!$C$19:$C$24,MATCH(H5,Parameters!$A$19:$A$24,1))</f>
        <v>0.75</v>
      </c>
      <c r="J5" s="13" t="n">
        <f aca="false">E5*Parameters!$B$14</f>
        <v>12500</v>
      </c>
      <c r="K5" s="13" t="n">
        <f aca="false">J5*I5</f>
        <v>9375</v>
      </c>
      <c r="L5" s="13" t="n">
        <f aca="false">E5*Parameters!$A$20</f>
        <v>4000000</v>
      </c>
      <c r="M5" s="47" t="n">
        <v>0.92</v>
      </c>
      <c r="N5" s="46" t="n">
        <f aca="false">INDEX(Parameters!$C$28:$C$30,MATCH(M5,Parameters!$A$28:$A$30,1))</f>
        <v>1</v>
      </c>
      <c r="O5" s="15" t="n">
        <f aca="false">K5*N5</f>
        <v>9375</v>
      </c>
    </row>
    <row r="6" customFormat="false" ht="15" hidden="false" customHeight="false" outlineLevel="0" collapsed="false">
      <c r="A6" s="20"/>
      <c r="B6" s="19" t="s">
        <v>59</v>
      </c>
      <c r="C6" s="20"/>
      <c r="D6" s="22" t="n">
        <f aca="false">SUM(D5:D5)</f>
        <v>14705.8823529412</v>
      </c>
      <c r="E6" s="21" t="n">
        <f aca="false">SUM(E5:E5)</f>
        <v>5000000</v>
      </c>
      <c r="F6" s="22" t="n">
        <f aca="false">SUM(F5:F5)</f>
        <v>13720</v>
      </c>
      <c r="G6" s="21" t="n">
        <f aca="false">SUM(G5:G5)</f>
        <v>4664800</v>
      </c>
      <c r="H6" s="48" t="n">
        <f aca="false">IFERROR(F6/D6,0)</f>
        <v>0.93296</v>
      </c>
      <c r="I6" s="20"/>
      <c r="J6" s="21" t="n">
        <f aca="false">SUM(J5:J5)</f>
        <v>12500</v>
      </c>
      <c r="K6" s="21" t="n">
        <f aca="false">SUM(K5:K5)</f>
        <v>9375</v>
      </c>
      <c r="L6" s="21" t="n">
        <f aca="false">SUM(L5:L5)</f>
        <v>4000000</v>
      </c>
      <c r="M6" s="48" t="n">
        <f aca="false">IFERROR(SUMPRODUCT(G5:G5,M5:M5)/G6,0)</f>
        <v>0.92</v>
      </c>
      <c r="N6" s="20"/>
      <c r="O6" s="21" t="n">
        <f aca="false">SUM(O5:O5)</f>
        <v>9375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2026-09-26T10:39:59Z</dcterms:created>
  <dc:creator>openpyxl</dc:creator>
  <dc:description/>
  <dc:language>en-US</dc:language>
  <cp:lastModifiedBy/>
  <dcterms:modified xsi:type="dcterms:W3CDTF">2026-09-26T10:39:59Z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