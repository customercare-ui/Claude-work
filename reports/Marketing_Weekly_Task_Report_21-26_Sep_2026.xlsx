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eport" sheetId="1" state="visible" r:id="rId1"/>
  </sheets>
  <definedNames>
    <definedName name="_xlnm.Print_Area" localSheetId="0">'Weekly Report'!$A$1:$I$66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0.0#"/>
    <numFmt numFmtId="166" formatCode="+0.0;-0.0;0.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b val="1"/>
      <color rgb="00595959"/>
      <sz val="10"/>
    </font>
    <font>
      <name val="Calibri"/>
      <b val="1"/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color rgb="00C00000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sz val="9"/>
    </font>
    <font>
      <name val="Calibri"/>
      <b val="1"/>
      <color rgb="00404040"/>
      <sz val="9"/>
    </font>
    <font>
      <name val="Calibri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843C0C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5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Report</author>
  </authors>
  <commentList>
    <comment ref="K2" authorId="0" shapeId="0">
      <text>
        <t>Calculation basis: sum of the daily WTG % / ACH-SCORE values for this task across the 6 daily reports (21-26 Sep). Weekly WTG % and ACH/SCORE = these / 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2" customWidth="1" min="3" max="3"/>
    <col width="16" customWidth="1" min="4" max="4"/>
    <col width="11" customWidth="1" min="5" max="5"/>
    <col width="10" customWidth="1" min="6" max="6"/>
    <col width="14" customWidth="1" min="7" max="7"/>
    <col width="12" customWidth="1" min="8" max="8"/>
    <col width="26" customWidth="1" min="9" max="9"/>
    <col width="13" customWidth="1" min="11" max="11"/>
    <col width="13" customWidth="1" min="12" max="12"/>
  </cols>
  <sheetData>
    <row r="1" ht="24" customHeight="1">
      <c r="A1" s="1" t="inlineStr">
        <is>
          <t>MARKETING - WEEKLY TASK REPORT [21-09-2026 to 26-09-2026]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No</t>
        </is>
      </c>
      <c r="B2" s="2" t="inlineStr">
        <is>
          <t>KRA</t>
        </is>
      </c>
      <c r="C2" s="2" t="inlineStr">
        <is>
          <t>KPI TASK (WEEK)</t>
        </is>
      </c>
      <c r="D2" s="2" t="inlineStr">
        <is>
          <t>DAYS (Sep)</t>
        </is>
      </c>
      <c r="E2" s="2" t="inlineStr">
        <is>
          <t>TARGET</t>
        </is>
      </c>
      <c r="F2" s="2" t="inlineStr">
        <is>
          <t>WTG %</t>
        </is>
      </c>
      <c r="G2" s="2" t="inlineStr">
        <is>
          <t>ACHIEVEMENT</t>
        </is>
      </c>
      <c r="H2" s="2" t="inlineStr">
        <is>
          <t>ACH / SCORE</t>
        </is>
      </c>
      <c r="I2" s="2" t="inlineStr">
        <is>
          <t>BOTTLE NECK</t>
        </is>
      </c>
      <c r="K2" s="3" t="inlineStr">
        <is>
          <t>Σ Daily WTG %</t>
        </is>
      </c>
      <c r="L2" s="3" t="inlineStr">
        <is>
          <t>Σ Daily Score</t>
        </is>
      </c>
      <c r="N2" s="4" t="inlineStr">
        <is>
          <t>No. of days</t>
        </is>
      </c>
      <c r="O2" s="5" t="n">
        <v>6</v>
      </c>
    </row>
    <row r="3" ht="30" customHeight="1">
      <c r="A3" s="6" t="n">
        <v>1</v>
      </c>
      <c r="B3" s="7" t="inlineStr">
        <is>
          <t>Website - Google Indexing &amp; Linking</t>
        </is>
      </c>
      <c r="C3" s="8" t="inlineStr">
        <is>
          <t>Page linking, internal linking &amp; submit/verify priority pages in Google Search Console</t>
        </is>
      </c>
      <c r="D3" s="6" t="inlineStr">
        <is>
          <t>21, 22, 24</t>
        </is>
      </c>
      <c r="E3" s="6" t="n">
        <v>16</v>
      </c>
      <c r="F3" s="9">
        <f>ROUND(K3/$O$2,2)</f>
        <v/>
      </c>
      <c r="G3" s="6" t="n">
        <v>16</v>
      </c>
      <c r="H3" s="9">
        <f>ROUND(L3/$O$2,2)</f>
        <v/>
      </c>
      <c r="I3" s="10" t="n"/>
      <c r="K3" s="11" t="n">
        <v>70</v>
      </c>
      <c r="L3" s="11" t="n">
        <v>70</v>
      </c>
    </row>
    <row r="4" ht="18" customHeight="1">
      <c r="A4" s="6" t="n">
        <v>2</v>
      </c>
      <c r="B4" s="7" t="inlineStr">
        <is>
          <t>Website Updation</t>
        </is>
      </c>
      <c r="C4" s="8" t="inlineStr">
        <is>
          <t>Images changing</t>
        </is>
      </c>
      <c r="D4" s="6" t="inlineStr">
        <is>
          <t>21</t>
        </is>
      </c>
      <c r="E4" s="6" t="n">
        <v>4</v>
      </c>
      <c r="F4" s="9">
        <f>ROUND(K4/$O$2,2)</f>
        <v/>
      </c>
      <c r="G4" s="6" t="n">
        <v>4</v>
      </c>
      <c r="H4" s="9">
        <f>ROUND(L4/$O$2,2)</f>
        <v/>
      </c>
      <c r="I4" s="10" t="n"/>
      <c r="K4" s="11" t="n">
        <v>2</v>
      </c>
      <c r="L4" s="11" t="n">
        <v>2</v>
      </c>
    </row>
    <row r="5" ht="18" customHeight="1">
      <c r="A5" s="12" t="n"/>
      <c r="B5" s="12" t="n"/>
      <c r="C5" s="8" t="inlineStr">
        <is>
          <t>Some texts removal (like image briefs)</t>
        </is>
      </c>
      <c r="D5" s="6" t="inlineStr">
        <is>
          <t>21</t>
        </is>
      </c>
      <c r="E5" s="6" t="n">
        <v>1</v>
      </c>
      <c r="F5" s="9">
        <f>ROUND(K5/$O$2,2)</f>
        <v/>
      </c>
      <c r="G5" s="6" t="n">
        <v>1</v>
      </c>
      <c r="H5" s="9">
        <f>ROUND(L5/$O$2,2)</f>
        <v/>
      </c>
      <c r="I5" s="10" t="n"/>
      <c r="K5" s="11" t="n">
        <v>2</v>
      </c>
      <c r="L5" s="11" t="n">
        <v>2</v>
      </c>
    </row>
    <row r="6" ht="18" customHeight="1">
      <c r="A6" s="12" t="n"/>
      <c r="B6" s="12" t="n"/>
      <c r="C6" s="8" t="inlineStr">
        <is>
          <t>Removing open jobs</t>
        </is>
      </c>
      <c r="D6" s="6" t="inlineStr">
        <is>
          <t>21</t>
        </is>
      </c>
      <c r="E6" s="6" t="n">
        <v>1</v>
      </c>
      <c r="F6" s="9">
        <f>ROUND(K6/$O$2,2)</f>
        <v/>
      </c>
      <c r="G6" s="6" t="n">
        <v>1</v>
      </c>
      <c r="H6" s="9">
        <f>ROUND(L6/$O$2,2)</f>
        <v/>
      </c>
      <c r="I6" s="10" t="n"/>
      <c r="K6" s="11" t="n">
        <v>2</v>
      </c>
      <c r="L6" s="11" t="n">
        <v>2</v>
      </c>
    </row>
    <row r="7" ht="18" customHeight="1">
      <c r="A7" s="12" t="n"/>
      <c r="B7" s="12" t="n"/>
      <c r="C7" s="8" t="inlineStr">
        <is>
          <t>Redirecting to Contact Us / Find Dealer</t>
        </is>
      </c>
      <c r="D7" s="6" t="inlineStr">
        <is>
          <t>21</t>
        </is>
      </c>
      <c r="E7" s="6" t="n">
        <v>1</v>
      </c>
      <c r="F7" s="9">
        <f>ROUND(K7/$O$2,2)</f>
        <v/>
      </c>
      <c r="G7" s="6" t="n">
        <v>1</v>
      </c>
      <c r="H7" s="9">
        <f>ROUND(L7/$O$2,2)</f>
        <v/>
      </c>
      <c r="I7" s="10" t="n"/>
      <c r="K7" s="11" t="n">
        <v>2</v>
      </c>
      <c r="L7" s="11" t="n">
        <v>2</v>
      </c>
    </row>
    <row r="8" ht="18" customHeight="1">
      <c r="A8" s="12" t="n"/>
      <c r="B8" s="12" t="n"/>
      <c r="C8" s="8" t="inlineStr">
        <is>
          <t>Website updation / business-related marketing activity</t>
        </is>
      </c>
      <c r="D8" s="6" t="inlineStr">
        <is>
          <t>25</t>
        </is>
      </c>
      <c r="E8" s="6" t="n">
        <v>1</v>
      </c>
      <c r="F8" s="9">
        <f>ROUND(K8/$O$2,2)</f>
        <v/>
      </c>
      <c r="G8" s="6" t="n">
        <v>1</v>
      </c>
      <c r="H8" s="9">
        <f>ROUND(L8/$O$2,2)</f>
        <v/>
      </c>
      <c r="I8" s="10" t="n"/>
      <c r="K8" s="11" t="n">
        <v>10</v>
      </c>
      <c r="L8" s="11" t="n">
        <v>10</v>
      </c>
    </row>
    <row r="9" ht="18" customHeight="1">
      <c r="A9" s="13" t="n"/>
      <c r="B9" s="13" t="n"/>
      <c r="C9" s="8" t="inlineStr">
        <is>
          <t>Updation of products based on the TDS sheet</t>
        </is>
      </c>
      <c r="D9" s="6" t="inlineStr">
        <is>
          <t>25</t>
        </is>
      </c>
      <c r="E9" s="6" t="n">
        <v>7</v>
      </c>
      <c r="F9" s="9">
        <f>ROUND(K9/$O$2,2)</f>
        <v/>
      </c>
      <c r="G9" s="6" t="n">
        <v>7</v>
      </c>
      <c r="H9" s="9">
        <f>ROUND(L9/$O$2,2)</f>
        <v/>
      </c>
      <c r="I9" s="10" t="n"/>
      <c r="K9" s="11" t="n">
        <v>20</v>
      </c>
      <c r="L9" s="11" t="n">
        <v>10</v>
      </c>
    </row>
    <row r="10" ht="18" customHeight="1">
      <c r="A10" s="6" t="n">
        <v>3</v>
      </c>
      <c r="B10" s="7" t="inlineStr">
        <is>
          <t>Video / Content</t>
        </is>
      </c>
      <c r="C10" s="8" t="inlineStr">
        <is>
          <t>Influencer videos follow-up</t>
        </is>
      </c>
      <c r="D10" s="6" t="inlineStr">
        <is>
          <t>21</t>
        </is>
      </c>
      <c r="E10" s="6" t="n">
        <v>2</v>
      </c>
      <c r="F10" s="9">
        <f>ROUND(K10/$O$2,2)</f>
        <v/>
      </c>
      <c r="G10" s="6" t="n">
        <v>2</v>
      </c>
      <c r="H10" s="9">
        <f>ROUND(L10/$O$2,2)</f>
        <v/>
      </c>
      <c r="I10" s="10" t="n"/>
      <c r="K10" s="11" t="n">
        <v>20</v>
      </c>
      <c r="L10" s="11" t="n">
        <v>20</v>
      </c>
    </row>
    <row r="11" ht="18" customHeight="1">
      <c r="A11" s="12" t="n"/>
      <c r="B11" s="12" t="n"/>
      <c r="C11" s="8" t="inlineStr">
        <is>
          <t>Content planning</t>
        </is>
      </c>
      <c r="D11" s="6" t="inlineStr">
        <is>
          <t>21</t>
        </is>
      </c>
      <c r="E11" s="6" t="n">
        <v>4</v>
      </c>
      <c r="F11" s="9">
        <f>ROUND(K11/$O$2,2)</f>
        <v/>
      </c>
      <c r="G11" s="6" t="n">
        <v>4</v>
      </c>
      <c r="H11" s="9">
        <f>ROUND(L11/$O$2,2)</f>
        <v/>
      </c>
      <c r="I11" s="10" t="n"/>
      <c r="K11" s="11" t="n">
        <v>20</v>
      </c>
      <c r="L11" s="11" t="n">
        <v>20</v>
      </c>
    </row>
    <row r="12" ht="18" customHeight="1">
      <c r="A12" s="13" t="n"/>
      <c r="B12" s="13" t="n"/>
      <c r="C12" s="8" t="inlineStr">
        <is>
          <t>SMM video editing - Insta trend office reel</t>
        </is>
      </c>
      <c r="D12" s="6" t="inlineStr">
        <is>
          <t>23</t>
        </is>
      </c>
      <c r="E12" s="6" t="n">
        <v>1</v>
      </c>
      <c r="F12" s="9">
        <f>ROUND(K12/$O$2,2)</f>
        <v/>
      </c>
      <c r="G12" s="6" t="n">
        <v>1</v>
      </c>
      <c r="H12" s="9">
        <f>ROUND(L12/$O$2,2)</f>
        <v/>
      </c>
      <c r="I12" s="10" t="n"/>
      <c r="K12" s="11" t="n">
        <v>7.5</v>
      </c>
      <c r="L12" s="11" t="n">
        <v>7.5</v>
      </c>
    </row>
    <row r="13" ht="18" customHeight="1">
      <c r="A13" s="6" t="n">
        <v>4</v>
      </c>
      <c r="B13" s="7" t="inlineStr">
        <is>
          <t>Influencer Marketing Management</t>
        </is>
      </c>
      <c r="C13" s="8" t="inlineStr">
        <is>
          <t>Finding through Instagram &amp; getting rates</t>
        </is>
      </c>
      <c r="D13" s="6" t="inlineStr">
        <is>
          <t>22</t>
        </is>
      </c>
      <c r="E13" s="6" t="n">
        <v>5</v>
      </c>
      <c r="F13" s="9">
        <f>ROUND(K13/$O$2,2)</f>
        <v/>
      </c>
      <c r="G13" s="6" t="n">
        <v>5</v>
      </c>
      <c r="H13" s="9">
        <f>ROUND(L13/$O$2,2)</f>
        <v/>
      </c>
      <c r="I13" s="10" t="n"/>
      <c r="K13" s="11" t="n">
        <v>15</v>
      </c>
      <c r="L13" s="11" t="n">
        <v>5</v>
      </c>
    </row>
    <row r="14" ht="30" customHeight="1">
      <c r="A14" s="13" t="n"/>
      <c r="B14" s="13" t="n"/>
      <c r="C14" s="8" t="inlineStr">
        <is>
          <t>Logistics follow-up - 500ml Extra Life sample to Kollam influencer</t>
        </is>
      </c>
      <c r="D14" s="6" t="inlineStr">
        <is>
          <t>24</t>
        </is>
      </c>
      <c r="E14" s="6" t="n">
        <v>1</v>
      </c>
      <c r="F14" s="9">
        <f>ROUND(K14/$O$2,2)</f>
        <v/>
      </c>
      <c r="G14" s="6" t="n">
        <v>1</v>
      </c>
      <c r="H14" s="9">
        <f>ROUND(L14/$O$2,2)</f>
        <v/>
      </c>
      <c r="I14" s="10" t="n"/>
      <c r="K14" s="11" t="n">
        <v>5</v>
      </c>
      <c r="L14" s="11" t="n">
        <v>5</v>
      </c>
    </row>
    <row r="15" ht="18" customHeight="1">
      <c r="A15" s="6" t="n">
        <v>5</v>
      </c>
      <c r="B15" s="7" t="inlineStr">
        <is>
          <t>Token Tracking App</t>
        </is>
      </c>
      <c r="C15" s="8" t="inlineStr">
        <is>
          <t>SAP automation follow-up</t>
        </is>
      </c>
      <c r="D15" s="6" t="inlineStr">
        <is>
          <t>21</t>
        </is>
      </c>
      <c r="E15" s="6" t="n">
        <v>1</v>
      </c>
      <c r="F15" s="9">
        <f>ROUND(K15/$O$2,2)</f>
        <v/>
      </c>
      <c r="G15" s="6" t="n">
        <v>0</v>
      </c>
      <c r="H15" s="9">
        <f>ROUND(L15/$O$2,2)</f>
        <v/>
      </c>
      <c r="I15" s="10" t="inlineStr">
        <is>
          <t>Token expired Claude</t>
        </is>
      </c>
      <c r="K15" s="11" t="n">
        <v>4</v>
      </c>
      <c r="L15" s="11" t="n">
        <v>0</v>
      </c>
    </row>
    <row r="16" ht="30" customHeight="1">
      <c r="A16" s="12" t="n"/>
      <c r="B16" s="12" t="n"/>
      <c r="C16" s="8" t="inlineStr">
        <is>
          <t>Painter / joined / incentive / shop-wise painters data report creation</t>
        </is>
      </c>
      <c r="D16" s="6" t="inlineStr">
        <is>
          <t>23</t>
        </is>
      </c>
      <c r="E16" s="6" t="n">
        <v>1</v>
      </c>
      <c r="F16" s="9">
        <f>ROUND(K16/$O$2,2)</f>
        <v/>
      </c>
      <c r="G16" s="6" t="n">
        <v>1</v>
      </c>
      <c r="H16" s="9">
        <f>ROUND(L16/$O$2,2)</f>
        <v/>
      </c>
      <c r="I16" s="10" t="n"/>
      <c r="K16" s="11" t="n">
        <v>20</v>
      </c>
      <c r="L16" s="11" t="n">
        <v>20</v>
      </c>
    </row>
    <row r="17" ht="18" customHeight="1">
      <c r="A17" s="13" t="n"/>
      <c r="B17" s="13" t="n"/>
      <c r="C17" s="8" t="inlineStr">
        <is>
          <t>Testing QR scanning with hand-held scanner in factory</t>
        </is>
      </c>
      <c r="D17" s="6" t="inlineStr">
        <is>
          <t>23</t>
        </is>
      </c>
      <c r="E17" s="6" t="n">
        <v>1</v>
      </c>
      <c r="F17" s="9">
        <f>ROUND(K17/$O$2,2)</f>
        <v/>
      </c>
      <c r="G17" s="6" t="n">
        <v>1</v>
      </c>
      <c r="H17" s="9">
        <f>ROUND(L17/$O$2,2)</f>
        <v/>
      </c>
      <c r="I17" s="10" t="n"/>
      <c r="K17" s="11" t="n">
        <v>10</v>
      </c>
      <c r="L17" s="11" t="n">
        <v>10</v>
      </c>
    </row>
    <row r="18" ht="30" customHeight="1">
      <c r="A18" s="6" t="n">
        <v>6</v>
      </c>
      <c r="B18" s="7" t="inlineStr">
        <is>
          <t>Epoxy Campaign - SEO</t>
        </is>
      </c>
      <c r="C18" s="8" t="inlineStr">
        <is>
          <t>Keyword research - Google Keyword Planner, Google Search Console</t>
        </is>
      </c>
      <c r="D18" s="6" t="inlineStr">
        <is>
          <t>26</t>
        </is>
      </c>
      <c r="E18" s="6" t="n">
        <v>1</v>
      </c>
      <c r="F18" s="9">
        <f>ROUND(K18/$O$2,2)</f>
        <v/>
      </c>
      <c r="G18" s="6" t="n">
        <v>1</v>
      </c>
      <c r="H18" s="9">
        <f>ROUND(L18/$O$2,2)</f>
        <v/>
      </c>
      <c r="I18" s="10" t="n"/>
      <c r="K18" s="11" t="n">
        <v>10</v>
      </c>
      <c r="L18" s="11" t="n">
        <v>10</v>
      </c>
    </row>
    <row r="19" ht="18" customHeight="1">
      <c r="A19" s="6" t="n">
        <v>7</v>
      </c>
      <c r="B19" s="7" t="inlineStr">
        <is>
          <t>Google Analytics &amp; Tag Manager</t>
        </is>
      </c>
      <c r="C19" s="8" t="inlineStr">
        <is>
          <t>Setting up the account - connecting the website</t>
        </is>
      </c>
      <c r="D19" s="6" t="inlineStr">
        <is>
          <t>26</t>
        </is>
      </c>
      <c r="E19" s="6" t="n">
        <v>2</v>
      </c>
      <c r="F19" s="9">
        <f>ROUND(K19/$O$2,2)</f>
        <v/>
      </c>
      <c r="G19" s="6" t="n">
        <v>0</v>
      </c>
      <c r="H19" s="9">
        <f>ROUND(L19/$O$2,2)</f>
        <v/>
      </c>
      <c r="I19" s="10" t="n"/>
      <c r="K19" s="11" t="n">
        <v>10</v>
      </c>
      <c r="L19" s="11" t="n">
        <v>0</v>
      </c>
    </row>
    <row r="20" ht="18" customHeight="1">
      <c r="A20" s="6" t="n">
        <v>8</v>
      </c>
      <c r="B20" s="7" t="inlineStr">
        <is>
          <t>Promotional Gift Purchase - Pen</t>
        </is>
      </c>
      <c r="C20" s="8" t="inlineStr">
        <is>
          <t>Finding vendors &amp; quotations</t>
        </is>
      </c>
      <c r="D20" s="6" t="inlineStr">
        <is>
          <t>24, 25, 26</t>
        </is>
      </c>
      <c r="E20" s="6" t="n">
        <v>3</v>
      </c>
      <c r="F20" s="9">
        <f>ROUND(K20/$O$2,2)</f>
        <v/>
      </c>
      <c r="G20" s="6" t="n">
        <v>0</v>
      </c>
      <c r="H20" s="9">
        <f>ROUND(L20/$O$2,2)</f>
        <v/>
      </c>
      <c r="I20" s="10" t="n"/>
      <c r="K20" s="11" t="n">
        <v>30</v>
      </c>
      <c r="L20" s="11" t="n">
        <v>0</v>
      </c>
    </row>
    <row r="21">
      <c r="A21" s="14" t="inlineStr">
        <is>
          <t>Team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 ht="18" customHeight="1">
      <c r="A22" s="16" t="n">
        <v>9</v>
      </c>
      <c r="B22" s="17" t="inlineStr">
        <is>
          <t>Product Container / Label Design - DampShield</t>
        </is>
      </c>
      <c r="C22" s="18" t="inlineStr">
        <is>
          <t>DampShield review</t>
        </is>
      </c>
      <c r="D22" s="16" t="inlineStr">
        <is>
          <t>21</t>
        </is>
      </c>
      <c r="E22" s="16" t="n">
        <v>1</v>
      </c>
      <c r="F22" s="19">
        <f>ROUND(K22/$O$2,2)</f>
        <v/>
      </c>
      <c r="G22" s="16" t="n">
        <v>0</v>
      </c>
      <c r="H22" s="19">
        <f>ROUND(L22/$O$2,2)</f>
        <v/>
      </c>
      <c r="I22" s="20" t="n"/>
      <c r="K22" s="11" t="n">
        <v>3</v>
      </c>
      <c r="L22" s="11" t="n">
        <v>0</v>
      </c>
    </row>
    <row r="23" ht="18" customHeight="1">
      <c r="A23" s="12" t="n"/>
      <c r="B23" s="12" t="n"/>
      <c r="C23" s="18" t="inlineStr">
        <is>
          <t>Design revisions based on feedback</t>
        </is>
      </c>
      <c r="D23" s="16" t="inlineStr">
        <is>
          <t>22, 23</t>
        </is>
      </c>
      <c r="E23" s="16" t="n">
        <v>2</v>
      </c>
      <c r="F23" s="19">
        <f>ROUND(K23/$O$2,2)</f>
        <v/>
      </c>
      <c r="G23" s="16" t="n">
        <v>1</v>
      </c>
      <c r="H23" s="19">
        <f>ROUND(L23/$O$2,2)</f>
        <v/>
      </c>
      <c r="I23" s="20" t="n"/>
      <c r="K23" s="11" t="n">
        <v>12.5</v>
      </c>
      <c r="L23" s="11" t="n">
        <v>5</v>
      </c>
    </row>
    <row r="24" ht="18" customHeight="1">
      <c r="A24" s="13" t="n"/>
      <c r="B24" s="13" t="n"/>
      <c r="C24" s="18" t="inlineStr">
        <is>
          <t>Changes from feedback &amp; reprinting</t>
        </is>
      </c>
      <c r="D24" s="16" t="inlineStr">
        <is>
          <t>26</t>
        </is>
      </c>
      <c r="E24" s="16" t="n">
        <v>1</v>
      </c>
      <c r="F24" s="19">
        <f>ROUND(K24/$O$2,2)</f>
        <v/>
      </c>
      <c r="G24" s="16" t="n">
        <v>1</v>
      </c>
      <c r="H24" s="19">
        <f>ROUND(L24/$O$2,2)</f>
        <v/>
      </c>
      <c r="I24" s="20" t="n"/>
      <c r="K24" s="11" t="n">
        <v>10</v>
      </c>
      <c r="L24" s="11" t="n">
        <v>10</v>
      </c>
    </row>
    <row r="25" ht="18" customHeight="1">
      <c r="A25" s="16" t="n">
        <v>10</v>
      </c>
      <c r="B25" s="17" t="inlineStr">
        <is>
          <t>Promotional Gift Design - Diary</t>
        </is>
      </c>
      <c r="C25" s="18" t="inlineStr">
        <is>
          <t>Concept, layout, branding &amp; artwork development</t>
        </is>
      </c>
      <c r="D25" s="16" t="inlineStr">
        <is>
          <t>22, 23, 24, 25, 26</t>
        </is>
      </c>
      <c r="E25" s="16" t="n">
        <v>6</v>
      </c>
      <c r="F25" s="19">
        <f>ROUND(K25/$O$2,2)</f>
        <v/>
      </c>
      <c r="G25" s="16" t="n">
        <v>2</v>
      </c>
      <c r="H25" s="19">
        <f>ROUND(L25/$O$2,2)</f>
        <v/>
      </c>
      <c r="I25" s="20" t="n"/>
      <c r="K25" s="11" t="n">
        <v>45</v>
      </c>
      <c r="L25" s="11" t="n">
        <v>15</v>
      </c>
    </row>
    <row r="26" ht="30" customHeight="1">
      <c r="A26" s="16" t="n">
        <v>11</v>
      </c>
      <c r="B26" s="17" t="inlineStr">
        <is>
          <t>Branding / Printing</t>
        </is>
      </c>
      <c r="C26" s="18" t="inlineStr">
        <is>
          <t>Layout, branding, content placement, dieline &amp; print-ready artwork</t>
        </is>
      </c>
      <c r="D26" s="16" t="inlineStr">
        <is>
          <t>22</t>
        </is>
      </c>
      <c r="E26" s="16" t="n">
        <v>1</v>
      </c>
      <c r="F26" s="19">
        <f>ROUND(K26/$O$2,2)</f>
        <v/>
      </c>
      <c r="G26" s="16" t="n">
        <v>1</v>
      </c>
      <c r="H26" s="19">
        <f>ROUND(L26/$O$2,2)</f>
        <v/>
      </c>
      <c r="I26" s="20" t="n"/>
      <c r="K26" s="11" t="n">
        <v>10</v>
      </c>
      <c r="L26" s="11" t="n">
        <v>10</v>
      </c>
    </row>
    <row r="27" ht="18" customHeight="1">
      <c r="A27" s="12" t="n"/>
      <c r="B27" s="12" t="n"/>
      <c r="C27" s="18" t="inlineStr">
        <is>
          <t>Brochure - resize to another size</t>
        </is>
      </c>
      <c r="D27" s="16" t="inlineStr">
        <is>
          <t>23</t>
        </is>
      </c>
      <c r="E27" s="16" t="n">
        <v>1</v>
      </c>
      <c r="F27" s="19">
        <f>ROUND(K27/$O$2,2)</f>
        <v/>
      </c>
      <c r="G27" s="16" t="n">
        <v>1</v>
      </c>
      <c r="H27" s="19">
        <f>ROUND(L27/$O$2,2)</f>
        <v/>
      </c>
      <c r="I27" s="20" t="n"/>
      <c r="K27" s="11" t="n">
        <v>10</v>
      </c>
      <c r="L27" s="11" t="n">
        <v>10</v>
      </c>
    </row>
    <row r="28" ht="18" customHeight="1">
      <c r="A28" s="12" t="n"/>
      <c r="B28" s="12" t="n"/>
      <c r="C28" s="18" t="inlineStr">
        <is>
          <t>Shop hoarding design - Kunnath H/W</t>
        </is>
      </c>
      <c r="D28" s="16" t="inlineStr">
        <is>
          <t>25</t>
        </is>
      </c>
      <c r="E28" s="16" t="n">
        <v>1</v>
      </c>
      <c r="F28" s="19">
        <f>ROUND(K28/$O$2,2)</f>
        <v/>
      </c>
      <c r="G28" s="16" t="n">
        <v>1</v>
      </c>
      <c r="H28" s="19">
        <f>ROUND(L28/$O$2,2)</f>
        <v/>
      </c>
      <c r="I28" s="20" t="n"/>
      <c r="K28" s="11" t="n">
        <v>6</v>
      </c>
      <c r="L28" s="11" t="n">
        <v>6</v>
      </c>
    </row>
    <row r="29" ht="18" customHeight="1">
      <c r="A29" s="13" t="n"/>
      <c r="B29" s="13" t="n"/>
      <c r="C29" s="18" t="inlineStr">
        <is>
          <t>Warranty card design for website</t>
        </is>
      </c>
      <c r="D29" s="16" t="inlineStr">
        <is>
          <t>25</t>
        </is>
      </c>
      <c r="E29" s="16" t="n">
        <v>1</v>
      </c>
      <c r="F29" s="19">
        <f>ROUND(K29/$O$2,2)</f>
        <v/>
      </c>
      <c r="G29" s="16" t="n">
        <v>0</v>
      </c>
      <c r="H29" s="19">
        <f>ROUND(L29/$O$2,2)</f>
        <v/>
      </c>
      <c r="I29" s="20" t="n"/>
      <c r="K29" s="11" t="n">
        <v>5</v>
      </c>
      <c r="L29" s="11" t="n">
        <v>0</v>
      </c>
    </row>
    <row r="30" ht="18" customHeight="1">
      <c r="A30" s="16" t="n">
        <v>12</v>
      </c>
      <c r="B30" s="17" t="inlineStr">
        <is>
          <t>Epoxy Campaign</t>
        </is>
      </c>
      <c r="C30" s="18" t="inlineStr">
        <is>
          <t>Planning of content for office shoot</t>
        </is>
      </c>
      <c r="D30" s="16" t="inlineStr">
        <is>
          <t>26</t>
        </is>
      </c>
      <c r="E30" s="16" t="n">
        <v>3</v>
      </c>
      <c r="F30" s="19">
        <f>ROUND(K30/$O$2,2)</f>
        <v/>
      </c>
      <c r="G30" s="16" t="n">
        <v>3</v>
      </c>
      <c r="H30" s="19">
        <f>ROUND(L30/$O$2,2)</f>
        <v/>
      </c>
      <c r="I30" s="20" t="n"/>
      <c r="K30" s="11" t="n">
        <v>5</v>
      </c>
      <c r="L30" s="11" t="n">
        <v>5</v>
      </c>
    </row>
    <row r="31" ht="18" customHeight="1">
      <c r="A31" s="12" t="n"/>
      <c r="B31" s="12" t="n"/>
      <c r="C31" s="18" t="inlineStr">
        <is>
          <t>Planning dealer / site / consumer testimonials</t>
        </is>
      </c>
      <c r="D31" s="16" t="inlineStr">
        <is>
          <t>26</t>
        </is>
      </c>
      <c r="E31" s="16" t="n">
        <v>1</v>
      </c>
      <c r="F31" s="19">
        <f>ROUND(K31/$O$2,2)</f>
        <v/>
      </c>
      <c r="G31" s="16" t="n">
        <v>1</v>
      </c>
      <c r="H31" s="19">
        <f>ROUND(L31/$O$2,2)</f>
        <v/>
      </c>
      <c r="I31" s="20" t="n"/>
      <c r="K31" s="11" t="n">
        <v>8</v>
      </c>
      <c r="L31" s="11" t="n">
        <v>8</v>
      </c>
    </row>
    <row r="32" ht="18" customHeight="1">
      <c r="A32" s="13" t="n"/>
      <c r="B32" s="13" t="n"/>
      <c r="C32" s="18" t="inlineStr">
        <is>
          <t>AI video - Epoxy AI videos for social media &amp; LED wall</t>
        </is>
      </c>
      <c r="D32" s="16" t="inlineStr">
        <is>
          <t>26</t>
        </is>
      </c>
      <c r="E32" s="16" t="n">
        <v>2</v>
      </c>
      <c r="F32" s="19">
        <f>ROUND(K32/$O$2,2)</f>
        <v/>
      </c>
      <c r="G32" s="16" t="n">
        <v>0</v>
      </c>
      <c r="H32" s="19">
        <f>ROUND(L32/$O$2,2)</f>
        <v/>
      </c>
      <c r="I32" s="20" t="n"/>
      <c r="K32" s="11" t="n">
        <v>10</v>
      </c>
      <c r="L32" s="11" t="n">
        <v>0</v>
      </c>
    </row>
    <row r="33">
      <c r="A33" s="14" t="inlineStr">
        <is>
          <t>Operational Follow up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 ht="18" customHeight="1">
      <c r="A34" s="6" t="n">
        <v>13</v>
      </c>
      <c r="B34" s="7" t="inlineStr">
        <is>
          <t>SMM / Meta Ads - DM</t>
        </is>
      </c>
      <c r="C34" s="8" t="inlineStr">
        <is>
          <t>Reach generated</t>
        </is>
      </c>
      <c r="D34" s="6" t="inlineStr">
        <is>
          <t>21-26</t>
        </is>
      </c>
      <c r="E34" s="6" t="inlineStr">
        <is>
          <t>1800k</t>
        </is>
      </c>
      <c r="F34" s="9" t="n"/>
      <c r="G34" s="6" t="inlineStr">
        <is>
          <t>913k</t>
        </is>
      </c>
      <c r="H34" s="9" t="n"/>
      <c r="I34" s="10" t="n"/>
      <c r="K34" s="11" t="n"/>
      <c r="L34" s="11" t="n"/>
    </row>
    <row r="35" ht="18" customHeight="1">
      <c r="A35" s="6" t="n">
        <v>14</v>
      </c>
      <c r="B35" s="7" t="inlineStr">
        <is>
          <t>WhatsApp Broadcast / WATI - DM</t>
        </is>
      </c>
      <c r="C35" s="8" t="inlineStr">
        <is>
          <t>Painter message creation &amp; WhatsApp broadcast execution</t>
        </is>
      </c>
      <c r="D35" s="6" t="inlineStr">
        <is>
          <t>21-26</t>
        </is>
      </c>
      <c r="E35" s="6" t="n">
        <v>1500</v>
      </c>
      <c r="F35" s="9">
        <f>ROUND(K35/$O$2,2)</f>
        <v/>
      </c>
      <c r="G35" s="6" t="n">
        <v>1100</v>
      </c>
      <c r="H35" s="9">
        <f>ROUND(L35/$O$2,2)</f>
        <v/>
      </c>
      <c r="I35" s="10" t="n"/>
      <c r="K35" s="11" t="n">
        <v>31</v>
      </c>
      <c r="L35" s="11" t="n">
        <v>17</v>
      </c>
    </row>
    <row r="36" ht="18" customHeight="1">
      <c r="A36" s="13" t="n"/>
      <c r="B36" s="13" t="n"/>
      <c r="C36" s="8" t="inlineStr">
        <is>
          <t>Dealer database collection, cleaning &amp; WATI upload</t>
        </is>
      </c>
      <c r="D36" s="6" t="inlineStr">
        <is>
          <t>22</t>
        </is>
      </c>
      <c r="E36" s="6" t="n">
        <v>500</v>
      </c>
      <c r="F36" s="9">
        <f>ROUND(K36/$O$2,2)</f>
        <v/>
      </c>
      <c r="G36" s="6" t="n">
        <v>544</v>
      </c>
      <c r="H36" s="9">
        <f>ROUND(L36/$O$2,2)</f>
        <v/>
      </c>
      <c r="I36" s="10" t="n"/>
      <c r="K36" s="11" t="n">
        <v>10</v>
      </c>
      <c r="L36" s="11" t="n">
        <v>10</v>
      </c>
    </row>
    <row r="37" ht="18" customHeight="1">
      <c r="A37" s="6" t="n">
        <v>15</v>
      </c>
      <c r="B37" s="7" t="inlineStr">
        <is>
          <t>SMM / Posting in Meta - DM</t>
        </is>
      </c>
      <c r="C37" s="8" t="inlineStr">
        <is>
          <t>Normal reel</t>
        </is>
      </c>
      <c r="D37" s="6" t="inlineStr">
        <is>
          <t>22</t>
        </is>
      </c>
      <c r="E37" s="6" t="n">
        <v>1</v>
      </c>
      <c r="F37" s="9">
        <f>ROUND(K37/$O$2,2)</f>
        <v/>
      </c>
      <c r="G37" s="6" t="n">
        <v>1</v>
      </c>
      <c r="H37" s="9">
        <f>ROUND(L37/$O$2,2)</f>
        <v/>
      </c>
      <c r="I37" s="10" t="n"/>
      <c r="K37" s="11" t="n">
        <v>5</v>
      </c>
      <c r="L37" s="11" t="n">
        <v>5</v>
      </c>
    </row>
    <row r="38" ht="18" customHeight="1">
      <c r="A38" s="13" t="n"/>
      <c r="B38" s="13" t="n"/>
      <c r="C38" s="8" t="inlineStr">
        <is>
          <t>Extra Life influencer video</t>
        </is>
      </c>
      <c r="D38" s="6" t="inlineStr">
        <is>
          <t>23, 24</t>
        </is>
      </c>
      <c r="E38" s="6" t="n">
        <v>2</v>
      </c>
      <c r="F38" s="9">
        <f>ROUND(K38/$O$2,2)</f>
        <v/>
      </c>
      <c r="G38" s="6" t="n">
        <v>1</v>
      </c>
      <c r="H38" s="9">
        <f>ROUND(L38/$O$2,2)</f>
        <v/>
      </c>
      <c r="I38" s="10" t="n"/>
      <c r="K38" s="11" t="n">
        <v>10</v>
      </c>
      <c r="L38" s="11" t="n">
        <v>5</v>
      </c>
    </row>
    <row r="39" ht="30" customHeight="1">
      <c r="A39" s="6" t="n">
        <v>16</v>
      </c>
      <c r="B39" s="7" t="inlineStr">
        <is>
          <t>Leads ROI Follow-up - DM</t>
        </is>
      </c>
      <c r="C39" s="8" t="inlineStr">
        <is>
          <t>Extra Life ad video leads - checking sales with Customer Service dept.</t>
        </is>
      </c>
      <c r="D39" s="6" t="inlineStr">
        <is>
          <t>24</t>
        </is>
      </c>
      <c r="E39" s="6" t="n">
        <v>31</v>
      </c>
      <c r="F39" s="9">
        <f>ROUND(K39/$O$2,2)</f>
        <v/>
      </c>
      <c r="G39" s="6" t="n">
        <v>23</v>
      </c>
      <c r="H39" s="9">
        <f>ROUND(L39/$O$2,2)</f>
        <v/>
      </c>
      <c r="I39" s="10" t="n"/>
      <c r="K39" s="11" t="n">
        <v>10</v>
      </c>
      <c r="L39" s="11" t="n">
        <v>7.5</v>
      </c>
    </row>
    <row r="40" ht="18" customHeight="1">
      <c r="A40" s="6" t="n">
        <v>17</v>
      </c>
      <c r="B40" s="7" t="inlineStr">
        <is>
          <t>Website SEO - DM</t>
        </is>
      </c>
      <c r="C40" s="8" t="inlineStr">
        <is>
          <t>AI site crawling research</t>
        </is>
      </c>
      <c r="D40" s="6" t="inlineStr">
        <is>
          <t>22, 23, 24, 25</t>
        </is>
      </c>
      <c r="E40" s="6" t="n">
        <v>4</v>
      </c>
      <c r="F40" s="9">
        <f>ROUND(K40/$O$2,2)</f>
        <v/>
      </c>
      <c r="G40" s="6" t="n">
        <v>4</v>
      </c>
      <c r="H40" s="9">
        <f>ROUND(L40/$O$2,2)</f>
        <v/>
      </c>
      <c r="I40" s="10" t="n"/>
      <c r="K40" s="11" t="n">
        <v>20</v>
      </c>
      <c r="L40" s="11" t="n">
        <v>20</v>
      </c>
    </row>
    <row r="41" ht="18" customHeight="1">
      <c r="A41" s="12" t="n"/>
      <c r="B41" s="12" t="n"/>
      <c r="C41" s="8" t="inlineStr">
        <is>
          <t>Topical authority research</t>
        </is>
      </c>
      <c r="D41" s="6" t="inlineStr">
        <is>
          <t>22, 23, 24, 25</t>
        </is>
      </c>
      <c r="E41" s="6" t="n">
        <v>4</v>
      </c>
      <c r="F41" s="9">
        <f>ROUND(K41/$O$2,2)</f>
        <v/>
      </c>
      <c r="G41" s="6" t="n">
        <v>3</v>
      </c>
      <c r="H41" s="9">
        <f>ROUND(L41/$O$2,2)</f>
        <v/>
      </c>
      <c r="I41" s="10" t="n"/>
      <c r="K41" s="11" t="n">
        <v>20</v>
      </c>
      <c r="L41" s="11" t="n">
        <v>15</v>
      </c>
    </row>
    <row r="42" ht="30" customHeight="1">
      <c r="A42" s="13" t="n"/>
      <c r="B42" s="13" t="n"/>
      <c r="C42" s="8" t="inlineStr">
        <is>
          <t>Review on DM research - ways to implement AI crawling &amp; topical authority</t>
        </is>
      </c>
      <c r="D42" s="6" t="inlineStr">
        <is>
          <t>24</t>
        </is>
      </c>
      <c r="E42" s="6" t="n">
        <v>1</v>
      </c>
      <c r="F42" s="9">
        <f>ROUND(K42/$O$2,2)</f>
        <v/>
      </c>
      <c r="G42" s="6" t="n">
        <v>1</v>
      </c>
      <c r="H42" s="9">
        <f>ROUND(L42/$O$2,2)</f>
        <v/>
      </c>
      <c r="I42" s="10" t="n"/>
      <c r="K42" s="11" t="n">
        <v>5</v>
      </c>
      <c r="L42" s="11" t="n">
        <v>5</v>
      </c>
    </row>
    <row r="43" ht="18" customHeight="1">
      <c r="A43" s="6" t="n">
        <v>18</v>
      </c>
      <c r="B43" s="7" t="inlineStr">
        <is>
          <t>Website Blog - DM</t>
        </is>
      </c>
      <c r="C43" s="8" t="inlineStr">
        <is>
          <t>SEO blog posts - research, create &amp; publish in website</t>
        </is>
      </c>
      <c r="D43" s="6" t="inlineStr">
        <is>
          <t>21, 23, 24, 25, 26</t>
        </is>
      </c>
      <c r="E43" s="6" t="n">
        <v>18</v>
      </c>
      <c r="F43" s="9">
        <f>ROUND(K43/$O$2,2)</f>
        <v/>
      </c>
      <c r="G43" s="6" t="n">
        <v>15</v>
      </c>
      <c r="H43" s="9">
        <f>ROUND(L43/$O$2,2)</f>
        <v/>
      </c>
      <c r="I43" s="10" t="inlineStr">
        <is>
          <t>Token expired Claude (21-09)</t>
        </is>
      </c>
      <c r="K43" s="11" t="n">
        <v>60</v>
      </c>
      <c r="L43" s="11" t="n">
        <v>45</v>
      </c>
    </row>
    <row r="44" ht="18" customHeight="1">
      <c r="A44" s="6" t="n">
        <v>19</v>
      </c>
      <c r="B44" s="7" t="inlineStr">
        <is>
          <t>SMM Google Ads - DM</t>
        </is>
      </c>
      <c r="C44" s="8" t="inlineStr">
        <is>
          <t>Setting up ad (Ezy Cover) - finding a call to action</t>
        </is>
      </c>
      <c r="D44" s="6" t="inlineStr">
        <is>
          <t>25</t>
        </is>
      </c>
      <c r="E44" s="6" t="n">
        <v>1</v>
      </c>
      <c r="F44" s="9">
        <f>ROUND(K44/$O$2,2)</f>
        <v/>
      </c>
      <c r="G44" s="6" t="n">
        <v>0</v>
      </c>
      <c r="H44" s="9">
        <f>ROUND(L44/$O$2,2)</f>
        <v/>
      </c>
      <c r="I44" s="10" t="n"/>
      <c r="K44" s="11" t="n">
        <v>6</v>
      </c>
      <c r="L44" s="11" t="n">
        <v>0</v>
      </c>
    </row>
    <row r="45" ht="18" customHeight="1">
      <c r="A45" s="13" t="n"/>
      <c r="B45" s="13" t="n"/>
      <c r="C45" s="8" t="inlineStr">
        <is>
          <t>Setting up ad - Prestige Epoxy</t>
        </is>
      </c>
      <c r="D45" s="6" t="inlineStr">
        <is>
          <t>26</t>
        </is>
      </c>
      <c r="E45" s="6" t="n">
        <v>1</v>
      </c>
      <c r="F45" s="9">
        <f>ROUND(K45/$O$2,2)</f>
        <v/>
      </c>
      <c r="G45" s="6" t="n">
        <v>0</v>
      </c>
      <c r="H45" s="9">
        <f>ROUND(L45/$O$2,2)</f>
        <v/>
      </c>
      <c r="I45" s="10" t="n"/>
      <c r="K45" s="11" t="n">
        <v>5</v>
      </c>
      <c r="L45" s="11" t="n">
        <v>0</v>
      </c>
    </row>
    <row r="46" ht="18" customHeight="1">
      <c r="A46" s="6" t="n">
        <v>20</v>
      </c>
      <c r="B46" s="7" t="inlineStr">
        <is>
          <t>Promotional Gift - T-Shirt</t>
        </is>
      </c>
      <c r="C46" s="8" t="inlineStr">
        <is>
          <t>T-shirt readiness / delivery follow-up with vendor</t>
        </is>
      </c>
      <c r="D46" s="6" t="inlineStr">
        <is>
          <t>22, 23, 24, 25, 26</t>
        </is>
      </c>
      <c r="E46" s="6" t="n">
        <v>5</v>
      </c>
      <c r="F46" s="9">
        <f>ROUND(K46/$O$2,2)</f>
        <v/>
      </c>
      <c r="G46" s="6" t="n">
        <v>3</v>
      </c>
      <c r="H46" s="9">
        <f>ROUND(L46/$O$2,2)</f>
        <v/>
      </c>
      <c r="I46" s="10" t="n"/>
      <c r="K46" s="11" t="n">
        <v>17</v>
      </c>
      <c r="L46" s="11" t="n">
        <v>11</v>
      </c>
    </row>
    <row r="47" ht="18" customHeight="1">
      <c r="A47" s="13" t="n"/>
      <c r="B47" s="13" t="n"/>
      <c r="C47" s="8" t="inlineStr">
        <is>
          <t>T-shirt payment follow-up</t>
        </is>
      </c>
      <c r="D47" s="6" t="inlineStr">
        <is>
          <t>22, 23, 24, 25, 26</t>
        </is>
      </c>
      <c r="E47" s="6" t="n">
        <v>5</v>
      </c>
      <c r="F47" s="9">
        <f>ROUND(K47/$O$2,2)</f>
        <v/>
      </c>
      <c r="G47" s="6" t="n">
        <v>2</v>
      </c>
      <c r="H47" s="9">
        <f>ROUND(L47/$O$2,2)</f>
        <v/>
      </c>
      <c r="I47" s="10" t="n"/>
      <c r="K47" s="11" t="n">
        <v>17</v>
      </c>
      <c r="L47" s="11" t="n">
        <v>6</v>
      </c>
    </row>
    <row r="48" ht="20" customHeight="1">
      <c r="A48" s="2" t="n"/>
      <c r="B48" s="2" t="inlineStr">
        <is>
          <t>GRAND TOTAL</t>
        </is>
      </c>
      <c r="C48" s="2" t="n"/>
      <c r="D48" s="2" t="n"/>
      <c r="E48" s="2" t="n"/>
      <c r="F48" s="2">
        <f>ROUND(SUM(F3:F47),1)</f>
        <v/>
      </c>
      <c r="G48" s="2" t="n"/>
      <c r="H48" s="21">
        <f>ROUND(SUM(L3:L47)/$O$2,2)</f>
        <v/>
      </c>
      <c r="I48" s="2" t="n"/>
      <c r="K48" s="22">
        <f>SUM(K3:K47)</f>
        <v/>
      </c>
      <c r="L48" s="22">
        <f>SUM(L3:L47)</f>
        <v/>
      </c>
    </row>
    <row r="50">
      <c r="A50" s="23" t="inlineStr">
        <is>
          <t>DAY-WISE SCORE SUMMARY</t>
        </is>
      </c>
      <c r="B50" s="23" t="n"/>
      <c r="C50" s="23" t="n"/>
      <c r="D50" s="23" t="n"/>
      <c r="E50" s="23" t="n"/>
      <c r="F50" s="23" t="n"/>
      <c r="G50" s="23" t="n"/>
      <c r="H50" s="23" t="n"/>
      <c r="I50" s="23" t="n"/>
    </row>
    <row r="51">
      <c r="A51" s="2" t="inlineStr">
        <is>
          <t>No</t>
        </is>
      </c>
      <c r="B51" s="2" t="inlineStr">
        <is>
          <t>DATE</t>
        </is>
      </c>
      <c r="C51" s="2" t="inlineStr">
        <is>
          <t>REMARKS</t>
        </is>
      </c>
      <c r="D51" s="24" t="n"/>
      <c r="E51" s="2" t="inlineStr">
        <is>
          <t>TASKS</t>
        </is>
      </c>
      <c r="F51" s="2" t="inlineStr">
        <is>
          <t>WTG %</t>
        </is>
      </c>
      <c r="G51" s="2" t="n"/>
      <c r="H51" s="2" t="inlineStr">
        <is>
          <t>ACH / SCORE</t>
        </is>
      </c>
      <c r="I51" s="2" t="inlineStr">
        <is>
          <t>vs WEEKLY AVG</t>
        </is>
      </c>
    </row>
    <row r="52" ht="18" customHeight="1">
      <c r="A52" s="6" t="n">
        <v>1</v>
      </c>
      <c r="B52" s="6" t="inlineStr">
        <is>
          <t>21-09-2026</t>
        </is>
      </c>
      <c r="C52" s="8" t="inlineStr">
        <is>
          <t>Blog posts &amp; SAP automation blocked - token expired (Claude)</t>
        </is>
      </c>
      <c r="D52" s="6" t="n"/>
      <c r="E52" s="25" t="n">
        <v>12</v>
      </c>
      <c r="F52" s="6" t="n">
        <v>100</v>
      </c>
      <c r="G52" s="6" t="n"/>
      <c r="H52" s="25" t="n">
        <v>80.5</v>
      </c>
      <c r="I52" s="26">
        <f>H52-$H$58</f>
        <v/>
      </c>
    </row>
    <row r="53" ht="18" customHeight="1">
      <c r="A53" s="6" t="n">
        <v>2</v>
      </c>
      <c r="B53" s="6" t="inlineStr">
        <is>
          <t>22-09-2026</t>
        </is>
      </c>
      <c r="C53" s="8" t="n"/>
      <c r="D53" s="6" t="n"/>
      <c r="E53" s="25" t="n">
        <v>15</v>
      </c>
      <c r="F53" s="6" t="n">
        <v>100</v>
      </c>
      <c r="G53" s="6" t="n"/>
      <c r="H53" s="25" t="n">
        <v>70</v>
      </c>
      <c r="I53" s="26">
        <f>H53-$H$58</f>
        <v/>
      </c>
    </row>
    <row r="54" ht="18" customHeight="1">
      <c r="A54" s="6" t="n">
        <v>3</v>
      </c>
      <c r="B54" s="6" t="inlineStr">
        <is>
          <t>23-09-2026</t>
        </is>
      </c>
      <c r="C54" s="8" t="inlineStr">
        <is>
          <t>DampShield revision score taken as 5 (= its WTG); sheet showed 10</t>
        </is>
      </c>
      <c r="D54" s="6" t="n"/>
      <c r="E54" s="25" t="n">
        <v>14</v>
      </c>
      <c r="F54" s="6" t="n">
        <v>100</v>
      </c>
      <c r="G54" s="6" t="n"/>
      <c r="H54" s="25" t="n">
        <v>81.5</v>
      </c>
      <c r="I54" s="26">
        <f>H54-$H$58</f>
        <v/>
      </c>
    </row>
    <row r="55" ht="18" customHeight="1">
      <c r="A55" s="6" t="n">
        <v>4</v>
      </c>
      <c r="B55" s="6" t="inlineStr">
        <is>
          <t>24-09-2026</t>
        </is>
      </c>
      <c r="C55" s="8" t="inlineStr">
        <is>
          <t>Row scores add up to 70.5 (sheet grand total showed 65.5)</t>
        </is>
      </c>
      <c r="D55" s="6" t="n"/>
      <c r="E55" s="25" t="n">
        <v>14</v>
      </c>
      <c r="F55" s="6" t="n">
        <v>100</v>
      </c>
      <c r="G55" s="6" t="n"/>
      <c r="H55" s="25" t="n">
        <v>70.5</v>
      </c>
      <c r="I55" s="26">
        <f>H55-$H$58</f>
        <v/>
      </c>
    </row>
    <row r="56" ht="18" customHeight="1">
      <c r="A56" s="6" t="n">
        <v>5</v>
      </c>
      <c r="B56" s="6" t="inlineStr">
        <is>
          <t>25-09-2026</t>
        </is>
      </c>
      <c r="C56" s="8" t="n"/>
      <c r="D56" s="6" t="n"/>
      <c r="E56" s="25" t="n">
        <v>14</v>
      </c>
      <c r="F56" s="6" t="n">
        <v>100</v>
      </c>
      <c r="G56" s="6" t="n"/>
      <c r="H56" s="25" t="n">
        <v>58.5</v>
      </c>
      <c r="I56" s="26">
        <f>H56-$H$58</f>
        <v/>
      </c>
    </row>
    <row r="57" ht="18" customHeight="1">
      <c r="A57" s="6" t="n">
        <v>6</v>
      </c>
      <c r="B57" s="6" t="inlineStr">
        <is>
          <t>26-09-2026</t>
        </is>
      </c>
      <c r="C57" s="8" t="inlineStr">
        <is>
          <t>Epoxy campaign kick-off; GA/Tag Manager, AI videos, Diary pending</t>
        </is>
      </c>
      <c r="D57" s="6" t="n"/>
      <c r="E57" s="25" t="n">
        <v>14</v>
      </c>
      <c r="F57" s="6" t="n">
        <v>100</v>
      </c>
      <c r="G57" s="6" t="n"/>
      <c r="H57" s="25" t="n">
        <v>50</v>
      </c>
      <c r="I57" s="26">
        <f>H57-$H$58</f>
        <v/>
      </c>
    </row>
    <row r="58">
      <c r="A58" s="2" t="n"/>
      <c r="B58" s="2" t="inlineStr">
        <is>
          <t>WEEKLY AVERAGE</t>
        </is>
      </c>
      <c r="C58" s="2" t="n"/>
      <c r="D58" s="2" t="n"/>
      <c r="E58" s="2">
        <f>SUM(E52:E57)</f>
        <v/>
      </c>
      <c r="F58" s="2">
        <f>AVERAGE(F52:F57)</f>
        <v/>
      </c>
      <c r="G58" s="2" t="n"/>
      <c r="H58" s="21">
        <f>ROUND(AVERAGE(H52:H57),2)</f>
        <v/>
      </c>
      <c r="I58" s="2" t="n"/>
    </row>
    <row r="59">
      <c r="B59" s="27" t="inlineStr">
        <is>
          <t>Check: ACH/SCORE grand total above = weekly average</t>
        </is>
      </c>
      <c r="H59" s="28">
        <f>IF(ABS(H48-H58)&lt;0.01,"OK","MISMATCH")</f>
        <v/>
      </c>
    </row>
    <row r="61">
      <c r="A61" s="29" t="inlineStr">
        <is>
          <t>Notes:</t>
        </is>
      </c>
    </row>
    <row r="62">
      <c r="A62" s="30" t="inlineStr">
        <is>
          <t>• Weekly WTG % = sum of daily WTG % for the task / 6 days; weekly ACH / SCORE = sum of daily scores / 6. Grand total therefore = average of the daily grand totals.</t>
        </is>
      </c>
    </row>
    <row r="63">
      <c r="A63" s="30" t="inlineStr">
        <is>
          <t>• TARGET and ACHIEVEMENT are totals across the days the task appeared (see DAYS column).</t>
        </is>
      </c>
    </row>
    <row r="64">
      <c r="A64" s="30" t="inlineStr">
        <is>
          <t>• Meta Ads reach carries no separate weight (it shares the WhatsApp broadcast weight in the daily sheets).</t>
        </is>
      </c>
    </row>
    <row r="65">
      <c r="A65" s="30" t="inlineStr">
        <is>
          <t>• Grey columns K-L hold the summed daily values the weekly figures are calculated from (blue = values taken from the daily reports).</t>
        </is>
      </c>
    </row>
  </sheetData>
  <mergeCells count="41">
    <mergeCell ref="B4:B9"/>
    <mergeCell ref="A65:I65"/>
    <mergeCell ref="B40:B42"/>
    <mergeCell ref="B30:B32"/>
    <mergeCell ref="C58:D58"/>
    <mergeCell ref="B15:B17"/>
    <mergeCell ref="B46:B47"/>
    <mergeCell ref="A50:I50"/>
    <mergeCell ref="A22:A24"/>
    <mergeCell ref="C54:D54"/>
    <mergeCell ref="B13:B14"/>
    <mergeCell ref="A10:A12"/>
    <mergeCell ref="C55:D55"/>
    <mergeCell ref="A15:A17"/>
    <mergeCell ref="A37:A38"/>
    <mergeCell ref="A46:A47"/>
    <mergeCell ref="C56:D56"/>
    <mergeCell ref="B37:B38"/>
    <mergeCell ref="A40:A42"/>
    <mergeCell ref="B22:B24"/>
    <mergeCell ref="B44:B45"/>
    <mergeCell ref="A62:I62"/>
    <mergeCell ref="A30:A32"/>
    <mergeCell ref="A21:B21"/>
    <mergeCell ref="A63:I63"/>
    <mergeCell ref="A13:A14"/>
    <mergeCell ref="A26:A29"/>
    <mergeCell ref="A33:B33"/>
    <mergeCell ref="C51:D51"/>
    <mergeCell ref="C52:D52"/>
    <mergeCell ref="A44:A45"/>
    <mergeCell ref="A64:I64"/>
    <mergeCell ref="A35:A36"/>
    <mergeCell ref="A4:A9"/>
    <mergeCell ref="B10:B12"/>
    <mergeCell ref="B26:B29"/>
    <mergeCell ref="C57:D57"/>
    <mergeCell ref="A1:I1"/>
    <mergeCell ref="A61:I61"/>
    <mergeCell ref="C53:D53"/>
    <mergeCell ref="B35:B36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2026-09-28T09:50:41Z</dcterms:created>
  <dcterms:modified xsi:type="dcterms:W3CDTF">2026-09-28T09:50:41Z</dcterms:modified>
</cp:coreProperties>
</file>